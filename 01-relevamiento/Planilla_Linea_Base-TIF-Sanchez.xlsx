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5"/>
    <sheet state="visible" name="Sujetos" sheetId="2" r:id="rId6"/>
    <sheet state="visible" name="Registro" sheetId="3" r:id="rId7"/>
  </sheets>
  <definedNames/>
  <calcPr/>
</workbook>
</file>

<file path=xl/sharedStrings.xml><?xml version="1.0" encoding="utf-8"?>
<sst xmlns="http://schemas.openxmlformats.org/spreadsheetml/2006/main" count="1065" uniqueCount="171">
  <si>
    <t>Sesión</t>
  </si>
  <si>
    <t>Código</t>
  </si>
  <si>
    <t>Sujeto</t>
  </si>
  <si>
    <t>Momento</t>
  </si>
  <si>
    <t>Forma</t>
  </si>
  <si>
    <t>Fecha</t>
  </si>
  <si>
    <t>Posición</t>
  </si>
  <si>
    <t>Caso</t>
  </si>
  <si>
    <t>Tipo</t>
  </si>
  <si>
    <t>Tiempo (s)</t>
  </si>
  <si>
    <t>Censurado</t>
  </si>
  <si>
    <t>Resp. valor</t>
  </si>
  <si>
    <t>Resp. origen</t>
  </si>
  <si>
    <t>Resultado</t>
  </si>
  <si>
    <t>Archivos distintos</t>
  </si>
  <si>
    <t>Nombre y apellido</t>
  </si>
  <si>
    <t>Usó cmd.</t>
  </si>
  <si>
    <t>Rol</t>
  </si>
  <si>
    <t>Organización</t>
  </si>
  <si>
    <t>Canal de contacto</t>
  </si>
  <si>
    <t>Fecha sesión Pre</t>
  </si>
  <si>
    <t>Conoce cmd. nativos</t>
  </si>
  <si>
    <t>Fecha sesión Post</t>
  </si>
  <si>
    <t>Consultó LLM</t>
  </si>
  <si>
    <t>Consentimiento firmado</t>
  </si>
  <si>
    <t>Caso válido</t>
  </si>
  <si>
    <t>Meses de uso de OpenCode</t>
  </si>
  <si>
    <t>Meses de uso de agentes</t>
  </si>
  <si>
    <t>t_pre_A</t>
  </si>
  <si>
    <t>t_pre_B</t>
  </si>
  <si>
    <t>Elementos en su ámbito global</t>
  </si>
  <si>
    <t>t_pre_C</t>
  </si>
  <si>
    <t>Consultas por semana (F)</t>
  </si>
  <si>
    <t>t_pre_D</t>
  </si>
  <si>
    <t>Instalación usada en la sesión</t>
  </si>
  <si>
    <t>t_pre</t>
  </si>
  <si>
    <t>t_post</t>
  </si>
  <si>
    <t>SUJ-01</t>
  </si>
  <si>
    <t>t_cmd_si</t>
  </si>
  <si>
    <t>t_cmd_parcial</t>
  </si>
  <si>
    <t>t_cmd_no</t>
  </si>
  <si>
    <t>t_pos14</t>
  </si>
  <si>
    <t>Santiago Nuñez</t>
  </si>
  <si>
    <t>t_pos58</t>
  </si>
  <si>
    <t>Software Developer</t>
  </si>
  <si>
    <t>f_pre</t>
  </si>
  <si>
    <t>Estudiante</t>
  </si>
  <si>
    <t>Presencial</t>
  </si>
  <si>
    <t>(cálculo — no editar)</t>
  </si>
  <si>
    <t>S-01</t>
  </si>
  <si>
    <t>Si</t>
  </si>
  <si>
    <t>Pre</t>
  </si>
  <si>
    <t>Sí</t>
  </si>
  <si>
    <t>Maquina Virtual</t>
  </si>
  <si>
    <t>A</t>
  </si>
  <si>
    <t>SUJ-02</t>
  </si>
  <si>
    <t>Fabricio Caceres</t>
  </si>
  <si>
    <t>Estudiante avanzado</t>
  </si>
  <si>
    <t>No</t>
  </si>
  <si>
    <t>01</t>
  </si>
  <si>
    <t>SUJ-03</t>
  </si>
  <si>
    <t>Valeria Areco</t>
  </si>
  <si>
    <t>Ingenieria en Informatica</t>
  </si>
  <si>
    <t>Emsa</t>
  </si>
  <si>
    <t>MODELO-A-DOCUMENTADOR</t>
  </si>
  <si>
    <t>proyecto-alfa/opencode.json</t>
  </si>
  <si>
    <t>Correcta</t>
  </si>
  <si>
    <t>SUJ-04</t>
  </si>
  <si>
    <t xml:space="preserve">Alejo Sanabria </t>
  </si>
  <si>
    <t>Desarrollador frontend</t>
  </si>
  <si>
    <t>SUJ-05</t>
  </si>
  <si>
    <t>Lautaro Geneyro</t>
  </si>
  <si>
    <t>SUJ-06</t>
  </si>
  <si>
    <t>Emiliano Zubi</t>
  </si>
  <si>
    <t>Parcial</t>
  </si>
  <si>
    <t>SUJ-07</t>
  </si>
  <si>
    <t>Kholer emily</t>
  </si>
  <si>
    <t>SUJ-08</t>
  </si>
  <si>
    <t>Matias Fleitas</t>
  </si>
  <si>
    <t>03</t>
  </si>
  <si>
    <t>B</t>
  </si>
  <si>
    <t>MODELO-A-REVISOR-ALFA</t>
  </si>
  <si>
    <t>05</t>
  </si>
  <si>
    <t>C</t>
  </si>
  <si>
    <t>solo AGENTS.md</t>
  </si>
  <si>
    <t>07</t>
  </si>
  <si>
    <t>D</t>
  </si>
  <si>
    <t>—</t>
  </si>
  <si>
    <t>No resuelta</t>
  </si>
  <si>
    <t>02</t>
  </si>
  <si>
    <t>MODELO-A-PROBADOR</t>
  </si>
  <si>
    <t>configuración global</t>
  </si>
  <si>
    <t>04</t>
  </si>
  <si>
    <t>MODELO-A-REFACT-PAGOS</t>
  </si>
  <si>
    <t>Incorrecta</t>
  </si>
  <si>
    <t>06</t>
  </si>
  <si>
    <t>sí, está vigente</t>
  </si>
  <si>
    <t>se suma a la del proyecto</t>
  </si>
  <si>
    <t>08</t>
  </si>
  <si>
    <t>no, todos vienen de una declaración</t>
  </si>
  <si>
    <t>proyecto-gamma/opencode.json</t>
  </si>
  <si>
    <t>RESUMEN DE INDICADORES</t>
  </si>
  <si>
    <t>S-02</t>
  </si>
  <si>
    <t>Calculado. No editar. Estadístico principal: MEDIANA.</t>
  </si>
  <si>
    <t>IB-1 agregado · medición previa (forma A)</t>
  </si>
  <si>
    <t>n</t>
  </si>
  <si>
    <t>Mediana (s)</t>
  </si>
  <si>
    <t>Q1 (s)</t>
  </si>
  <si>
    <t>Q3 (s)</t>
  </si>
  <si>
    <t>Media (s)</t>
  </si>
  <si>
    <t>% censurado</t>
  </si>
  <si>
    <t>Todos los casos</t>
  </si>
  <si>
    <t>modulo-pagos/opencode.json</t>
  </si>
  <si>
    <t>IB-1 por tipo de caso · medición previa</t>
  </si>
  <si>
    <t>Tipo A · origen único</t>
  </si>
  <si>
    <t>AGENTS.md y las dos guías globales</t>
  </si>
  <si>
    <t>los tres opencode.json</t>
  </si>
  <si>
    <t>Tipo B · conflicto de precedencia</t>
  </si>
  <si>
    <t>S-03</t>
  </si>
  <si>
    <t>Tipo C · arreglo reemplazado</t>
  </si>
  <si>
    <t>Tipo D · valor no declarado</t>
  </si>
  <si>
    <t>MODELO-A-REVISOR-GLOBAL</t>
  </si>
  <si>
    <t>el global, el proyecto no lo pisa</t>
  </si>
  <si>
    <t>no lo tiene asignado</t>
  </si>
  <si>
    <t>ninguno</t>
  </si>
  <si>
    <t>Para el tipo D, IB-1 no es interpretable si la censura es alta: informar acierto y no resueltas.</t>
  </si>
  <si>
    <t>IB-2 · resultado por tipo de caso · medición previa</t>
  </si>
  <si>
    <t>% correcta</t>
  </si>
  <si>
    <t>% incorrecta</t>
  </si>
  <si>
    <t>% no resuelta</t>
  </si>
  <si>
    <t>% no correcta</t>
  </si>
  <si>
    <t>S-04</t>
  </si>
  <si>
    <t>no</t>
  </si>
  <si>
    <t>no encontré ninguno fuera de los archivos</t>
  </si>
  <si>
    <t>S-05</t>
  </si>
  <si>
    <t>estilo-global.md, seguridad-global.md y AGENTS.md</t>
  </si>
  <si>
    <t>la configuración global</t>
  </si>
  <si>
    <t>Total</t>
  </si>
  <si>
    <t>«% no correcta» = incorrecta + no resuelta. IB-2 a secas excluye las no resueltas, que se concentran en el tipo D: informar solo incorrectas subestima la línea de base.</t>
  </si>
  <si>
    <t>IB-3 · archivos distintos por consulta · medición previa</t>
  </si>
  <si>
    <t>está declarada en el global</t>
  </si>
  <si>
    <t>Mediana de archivos distintos</t>
  </si>
  <si>
    <t>Máximo</t>
  </si>
  <si>
    <t>S-06</t>
  </si>
  <si>
    <t>Consultas con uso del comando de configuración resuelta</t>
  </si>
  <si>
    <t>Intentos de consulta a un modelo de lenguaje (registrados, no admitidos)</t>
  </si>
  <si>
    <t>Control de covariable · conocimiento de los comandos nativos</t>
  </si>
  <si>
    <t>Conoce los comandos</t>
  </si>
  <si>
    <t>Los conoce parcialmente</t>
  </si>
  <si>
    <t>No los conoce</t>
  </si>
  <si>
    <t>Derivación del criterio de éxito · apartado I.3.4</t>
  </si>
  <si>
    <t>Línea de base IB-1 (mediana, forma A)</t>
  </si>
  <si>
    <t>Valor objetivo IB-1 — umbral de interacción (s)</t>
  </si>
  <si>
    <t>Reducción comprometida</t>
  </si>
  <si>
    <t>Línea de base IB-2 (proporción de incorrectas)</t>
  </si>
  <si>
    <t>Línea de base IB-2 ampliada (proporción de no correctas)</t>
  </si>
  <si>
    <t>Valor objetivo IB-2</t>
  </si>
  <si>
    <t>Las dos celdas amarillas son los compromisos declarados en I.3. El resto se deriva del Registro.</t>
  </si>
  <si>
    <t>Comparación previa y posterior · protocolo del OE-4, noviembre</t>
  </si>
  <si>
    <t>% incorrectas</t>
  </si>
  <si>
    <t>% no correctas</t>
  </si>
  <si>
    <t>Previa · forma A</t>
  </si>
  <si>
    <t>Posterior · forma B</t>
  </si>
  <si>
    <t>S-07</t>
  </si>
  <si>
    <t>los del global</t>
  </si>
  <si>
    <t>Se compara el mismo estadístico en ambos momentos. Formas paralelas: los sujetos no responden de memoria.</t>
  </si>
  <si>
    <t>no está vigente</t>
  </si>
  <si>
    <t>el proyecto no la referencia</t>
  </si>
  <si>
    <t>S-08</t>
  </si>
  <si>
    <t>reemplazo completo del arreglo</t>
  </si>
  <si>
    <t>AGENTS.md del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</si>
</sst>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0.0%"/>
  </numFmts>
  <fonts count="9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rgb="FF777777"/>
      <name val="Arial"/>
    </font>
    <font>
      <sz val="10.0"/>
      <color theme="1"/>
      <name val="Arial"/>
    </font>
    <font>
      <b/>
      <sz val="14.0"/>
      <color theme="1"/>
      <name val="Arial"/>
    </font>
    <font>
      <sz val="11.0"/>
      <color theme="1"/>
      <name val="Arial"/>
    </font>
    <font>
      <sz val="10.0"/>
      <color rgb="FF666666"/>
      <name val="Arial"/>
    </font>
    <font>
      <b/>
      <sz val="11.0"/>
      <color rgb="FF2F4858"/>
      <name val="Arial"/>
    </font>
    <font>
      <b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2F4858"/>
        <bgColor rgb="FF2F4858"/>
      </patternFill>
    </fill>
    <fill>
      <patternFill patternType="solid">
        <fgColor rgb="FFEDEDED"/>
        <bgColor rgb="FFEDEDED"/>
      </patternFill>
    </fill>
    <fill>
      <patternFill patternType="solid">
        <fgColor rgb="FFFFF2CC"/>
        <bgColor rgb="FFFFF2CC"/>
      </patternFill>
    </fill>
  </fills>
  <borders count="13">
    <border/>
    <border>
      <left/>
      <right/>
      <top/>
      <bottom style="thin">
        <color rgb="FFBFBFBF"/>
      </bottom>
    </border>
    <border>
      <left/>
      <right/>
      <top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2" fontId="1" numFmtId="0" xfId="0" applyAlignment="1" applyBorder="1" applyFill="1" applyFont="1">
      <alignment shrinkToFit="0" vertical="center" wrapText="1"/>
    </xf>
    <xf borderId="1" fillId="2" fontId="1" numFmtId="0" xfId="0" applyAlignment="1" applyBorder="1" applyFill="1" applyFont="1">
      <alignment readingOrder="0" shrinkToFit="0" vertical="center" wrapText="1"/>
    </xf>
    <xf borderId="1" fillId="3" fontId="2" numFmtId="0" xfId="0" applyAlignment="1" applyBorder="1" applyFill="1" applyFont="1">
      <alignment shrinkToFit="0" vertical="center" wrapText="1"/>
    </xf>
    <xf borderId="3" fillId="0" fontId="3" numFmtId="0" xfId="0" applyAlignment="1" applyBorder="1" applyFont="1">
      <alignment shrinkToFit="0" vertical="bottom" wrapText="0"/>
    </xf>
    <xf borderId="4" fillId="0" fontId="3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4" fillId="0" fontId="3" numFmtId="164" xfId="0" applyAlignment="1" applyBorder="1" applyFont="1" applyNumberForma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4" fillId="0" fontId="3" numFmtId="0" xfId="0" applyAlignment="1" applyBorder="1" applyFont="1">
      <alignment shrinkToFit="0" vertical="bottom" wrapText="0"/>
    </xf>
    <xf borderId="6" fillId="0" fontId="3" numFmtId="0" xfId="0" applyAlignment="1" applyBorder="1" applyFont="1">
      <alignment readingOrder="0" shrinkToFit="0" vertical="bottom" wrapText="0"/>
    </xf>
    <xf borderId="5" fillId="0" fontId="3" numFmtId="164" xfId="0" applyAlignment="1" applyBorder="1" applyFont="1" applyNumberFormat="1">
      <alignment shrinkToFit="0" vertical="bottom" wrapText="0"/>
    </xf>
    <xf borderId="7" fillId="0" fontId="3" numFmtId="0" xfId="0" applyAlignment="1" applyBorder="1" applyFont="1">
      <alignment shrinkToFit="0" vertical="bottom" wrapText="0"/>
    </xf>
    <xf borderId="8" fillId="0" fontId="3" numFmtId="0" xfId="0" applyAlignment="1" applyBorder="1" applyFont="1">
      <alignment readingOrder="0" shrinkToFit="0" vertical="bottom" wrapText="0"/>
    </xf>
    <xf borderId="8" fillId="0" fontId="3" numFmtId="164" xfId="0" applyAlignment="1" applyBorder="1" applyFont="1" applyNumberFormat="1">
      <alignment shrinkToFit="0" vertical="bottom" wrapText="0"/>
    </xf>
    <xf borderId="8" fillId="0" fontId="3" numFmtId="0" xfId="0" applyAlignment="1" applyBorder="1" applyFont="1">
      <alignment shrinkToFit="0" vertical="bottom" wrapText="0"/>
    </xf>
    <xf borderId="9" fillId="0" fontId="3" numFmtId="0" xfId="0" applyAlignment="1" applyBorder="1" applyFont="1">
      <alignment readingOrder="0" shrinkToFit="0" vertical="bottom" wrapText="0"/>
    </xf>
    <xf borderId="10" fillId="3" fontId="2" numFmtId="0" xfId="0" applyAlignment="1" applyBorder="1" applyFill="1" applyFont="1">
      <alignment shrinkToFit="0" vertical="bottom" wrapText="0"/>
    </xf>
    <xf borderId="11" fillId="0" fontId="3" numFmtId="0" xfId="0" applyAlignment="1" applyBorder="1" applyFont="1">
      <alignment shrinkToFit="0" vertical="bottom" wrapText="0"/>
    </xf>
    <xf borderId="11" fillId="0" fontId="3" numFmtId="164" xfId="0" applyAlignment="1" applyBorder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5" numFmtId="1" xfId="0" applyAlignment="1" applyFont="1" applyNumberFormat="1">
      <alignment shrinkToFit="0" vertical="bottom" wrapText="0"/>
    </xf>
    <xf borderId="0" fillId="0" fontId="5" numFmtId="165" xfId="0" applyAlignment="1" applyFont="1" applyNumberForma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8" numFmtId="165" xfId="0" applyAlignment="1" applyFont="1" applyNumberFormat="1">
      <alignment shrinkToFit="0" vertical="bottom" wrapText="0"/>
    </xf>
    <xf borderId="10" fillId="4" fontId="5" numFmtId="1" xfId="0" applyAlignment="1" applyBorder="1" applyFill="1" applyFont="1" applyNumberFormat="1">
      <alignment shrinkToFit="0" vertical="bottom" wrapText="0"/>
    </xf>
    <xf borderId="10" fillId="4" fontId="5" numFmtId="0" xfId="0" applyAlignment="1" applyBorder="1" applyFill="1" applyFont="1">
      <alignment shrinkToFit="0" vertical="bottom" wrapText="0"/>
    </xf>
    <xf borderId="12" fillId="0" fontId="3" numFmtId="0" xfId="0" applyAlignment="1" applyBorder="1" applyFont="1">
      <alignment shrinkToFit="0" vertical="bottom" wrapText="0"/>
    </xf>
    <xf borderId="12" fillId="0" fontId="3" numFmtId="164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IB-1 · mediana del tiempo de resolución por tipo de caso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F81BD"/>
            </a:solidFill>
            <a:ln cmpd="sng">
              <a:noFill/>
            </a:ln>
          </c:spPr>
          <c:cat>
            <c:strRef>
              <c:f>Resumen!$A$10:$A$13</c:f>
            </c:strRef>
          </c:cat>
          <c:val>
            <c:numRef>
              <c:f>Resumen!$C$10:$C$13</c:f>
              <c:numCache/>
            </c:numRef>
          </c:val>
        </c:ser>
        <c:axId val="1434526309"/>
        <c:axId val="1030003732"/>
      </c:barChart>
      <c:catAx>
        <c:axId val="14345263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30003732"/>
      </c:catAx>
      <c:valAx>
        <c:axId val="10300037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segundos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34526309"/>
      </c:valAx>
    </c:plotArea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IB-2 · resultado por tipo de caso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% correcta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Resumen!$A$18:$A$21</c:f>
            </c:strRef>
          </c:cat>
          <c:val>
            <c:numRef>
              <c:f>Resumen!$B$18:$B$21</c:f>
              <c:numCache/>
            </c:numRef>
          </c:val>
        </c:ser>
        <c:ser>
          <c:idx val="1"/>
          <c:order val="1"/>
          <c:tx>
            <c:v>% incorrecta</c:v>
          </c:tx>
          <c:spPr>
            <a:solidFill>
              <a:srgbClr val="C0504D"/>
            </a:solidFill>
            <a:ln cmpd="sng">
              <a:noFill/>
            </a:ln>
          </c:spPr>
          <c:cat>
            <c:strRef>
              <c:f>Resumen!$A$18:$A$21</c:f>
            </c:strRef>
          </c:cat>
          <c:val>
            <c:numRef>
              <c:f>Resumen!$C$18:$C$21</c:f>
              <c:numCache/>
            </c:numRef>
          </c:val>
        </c:ser>
        <c:ser>
          <c:idx val="2"/>
          <c:order val="2"/>
          <c:tx>
            <c:v>% no resuelta</c:v>
          </c:tx>
          <c:spPr>
            <a:solidFill>
              <a:srgbClr val="9BBB59"/>
            </a:solidFill>
            <a:ln cmpd="sng">
              <a:noFill/>
            </a:ln>
          </c:spPr>
          <c:cat>
            <c:strRef>
              <c:f>Resumen!$A$18:$A$21</c:f>
            </c:strRef>
          </c:cat>
          <c:val>
            <c:numRef>
              <c:f>Resumen!$D$18:$D$21</c:f>
              <c:numCache/>
            </c:numRef>
          </c:val>
        </c:ser>
        <c:overlap val="100"/>
        <c:axId val="314045264"/>
        <c:axId val="436139641"/>
      </c:barChart>
      <c:catAx>
        <c:axId val="314045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36139641"/>
      </c:catAx>
      <c:valAx>
        <c:axId val="4361396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proporción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14045264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2</xdr:row>
      <xdr:rowOff>152400</xdr:rowOff>
    </xdr:from>
    <xdr:ext cx="4638675" cy="27336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17</xdr:row>
      <xdr:rowOff>152400</xdr:rowOff>
    </xdr:from>
    <xdr:ext cx="4638675" cy="27336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2.0"/>
    <col customWidth="1" min="2" max="7" width="13.0"/>
    <col customWidth="1" min="8" max="26" width="8.71"/>
  </cols>
  <sheetData>
    <row r="1">
      <c r="A1" s="21" t="s">
        <v>101</v>
      </c>
      <c r="B1" s="22"/>
      <c r="C1" s="22"/>
      <c r="D1" s="22"/>
      <c r="E1" s="22"/>
      <c r="F1" s="22"/>
      <c r="G1" s="22"/>
    </row>
    <row r="2">
      <c r="A2" s="23" t="s">
        <v>103</v>
      </c>
      <c r="B2" s="22"/>
      <c r="C2" s="22"/>
      <c r="D2" s="22"/>
      <c r="E2" s="22"/>
      <c r="F2" s="22"/>
      <c r="G2" s="22"/>
    </row>
    <row r="3">
      <c r="A3" s="22"/>
      <c r="B3" s="22"/>
      <c r="C3" s="22"/>
      <c r="D3" s="22"/>
      <c r="E3" s="22"/>
      <c r="F3" s="22"/>
      <c r="G3" s="22"/>
    </row>
    <row r="4">
      <c r="A4" s="24" t="s">
        <v>104</v>
      </c>
      <c r="B4" s="22"/>
      <c r="C4" s="22"/>
      <c r="D4" s="22"/>
      <c r="E4" s="22"/>
      <c r="F4" s="22"/>
      <c r="G4" s="22"/>
    </row>
    <row r="5">
      <c r="A5" s="1"/>
      <c r="B5" s="1" t="s">
        <v>105</v>
      </c>
      <c r="C5" s="1" t="s">
        <v>106</v>
      </c>
      <c r="D5" s="1" t="s">
        <v>107</v>
      </c>
      <c r="E5" s="1" t="s">
        <v>108</v>
      </c>
      <c r="F5" s="1" t="s">
        <v>109</v>
      </c>
      <c r="G5" s="1" t="s">
        <v>110</v>
      </c>
    </row>
    <row r="6">
      <c r="A6" s="22" t="s">
        <v>111</v>
      </c>
      <c r="B6" s="22">
        <f>COUNT(Registro!$X$2:$X$65)</f>
        <v>64</v>
      </c>
      <c r="C6" s="25">
        <f>IFERROR(MEDIAN(Registro!$X$2:$X$65),"—")</f>
        <v>109</v>
      </c>
      <c r="D6" s="25">
        <f>IFERROR(QUARTILE(Registro!$X$2:$X$65,1),"—")</f>
        <v>48.25</v>
      </c>
      <c r="E6" s="25">
        <f>IFERROR(QUARTILE(Registro!$X$2:$X$65,3),"—")</f>
        <v>222.75</v>
      </c>
      <c r="F6" s="25">
        <f>IFERROR(AVERAGE(Registro!$X$2:$X$65),"—")</f>
        <v>140.96875</v>
      </c>
      <c r="G6" s="26">
        <f>IFERROR(COUNTIFS(Registro!$C$2:$C$65,"Pre",Registro!$R$2:$R$65,"Sí",Registro!$J$2:$J$65,"Sí")/COUNTIFS(Registro!$C$2:$C$65,"Pre",Registro!$R$2:$R$65,"Sí"),"—")</f>
        <v>0.203125</v>
      </c>
    </row>
    <row r="7">
      <c r="A7" s="22"/>
      <c r="B7" s="22"/>
      <c r="C7" s="22"/>
      <c r="D7" s="22"/>
      <c r="E7" s="22"/>
      <c r="F7" s="22"/>
      <c r="G7" s="22"/>
    </row>
    <row r="8">
      <c r="A8" s="24" t="s">
        <v>113</v>
      </c>
      <c r="B8" s="22"/>
      <c r="C8" s="22"/>
      <c r="D8" s="22"/>
      <c r="E8" s="22"/>
      <c r="F8" s="22"/>
      <c r="G8" s="22"/>
    </row>
    <row r="9">
      <c r="A9" s="1"/>
      <c r="B9" s="1" t="s">
        <v>105</v>
      </c>
      <c r="C9" s="1" t="s">
        <v>106</v>
      </c>
      <c r="D9" s="1" t="s">
        <v>107</v>
      </c>
      <c r="E9" s="1" t="s">
        <v>108</v>
      </c>
      <c r="F9" s="1" t="s">
        <v>109</v>
      </c>
      <c r="G9" s="1" t="s">
        <v>110</v>
      </c>
    </row>
    <row r="10">
      <c r="A10" s="22" t="s">
        <v>114</v>
      </c>
      <c r="B10" s="22">
        <f>COUNT(Registro!$T$2:$T$65)</f>
        <v>16</v>
      </c>
      <c r="C10" s="25">
        <f>IFERROR(MEDIAN(Registro!$T$2:$T$65),"—")</f>
        <v>26</v>
      </c>
      <c r="D10" s="25">
        <f>IFERROR(QUARTILE(Registro!$T$2:$T$65,1),"—")</f>
        <v>19.5</v>
      </c>
      <c r="E10" s="25">
        <f>IFERROR(QUARTILE(Registro!$T$2:$T$65,3),"—")</f>
        <v>30.25</v>
      </c>
      <c r="F10" s="25">
        <f>IFERROR(AVERAGE(Registro!$T$2:$T$65),"—")</f>
        <v>26.125</v>
      </c>
      <c r="G10" s="26">
        <f>IFERROR(COUNTIFS(Registro!$C$2:$C$65,"Pre",Registro!$R$2:$R$65,"Sí",Registro!$H$2:$H$65,"A",Registro!$J$2:$J$65,"Sí")/COUNTIFS(Registro!$C$2:$C$65,"Pre",Registro!$R$2:$R$65,"Sí",Registro!$H$2:$H$65,"A"),"—")</f>
        <v>0</v>
      </c>
    </row>
    <row r="11">
      <c r="A11" s="22" t="s">
        <v>117</v>
      </c>
      <c r="B11" s="22">
        <f>COUNT(Registro!$U$2:$U$65)</f>
        <v>16</v>
      </c>
      <c r="C11" s="25">
        <f>IFERROR(MEDIAN(Registro!$U$2:$U$65),"—")</f>
        <v>104</v>
      </c>
      <c r="D11" s="25">
        <f>IFERROR(QUARTILE(Registro!$U$2:$U$65,1),"—")</f>
        <v>79.25</v>
      </c>
      <c r="E11" s="25">
        <f>IFERROR(QUARTILE(Registro!$U$2:$U$65,3),"—")</f>
        <v>130.75</v>
      </c>
      <c r="F11" s="25">
        <f>IFERROR(AVERAGE(Registro!$U$2:$U$65),"—")</f>
        <v>103.75</v>
      </c>
      <c r="G11" s="26">
        <f>IFERROR(COUNTIFS(Registro!$C$2:$C$65,"Pre",Registro!$R$2:$R$65,"Sí",Registro!$H$2:$H$65,"B",Registro!$J$2:$J$65,"Sí")/COUNTIFS(Registro!$C$2:$C$65,"Pre",Registro!$R$2:$R$65,"Sí",Registro!$H$2:$H$65,"B"),"—")</f>
        <v>0</v>
      </c>
    </row>
    <row r="12">
      <c r="A12" s="22" t="s">
        <v>119</v>
      </c>
      <c r="B12" s="22">
        <f>COUNT(Registro!$V$2:$V$65)</f>
        <v>16</v>
      </c>
      <c r="C12" s="25">
        <f>IFERROR(MEDIAN(Registro!$V$2:$V$65),"—")</f>
        <v>177</v>
      </c>
      <c r="D12" s="25">
        <f>IFERROR(QUARTILE(Registro!$V$2:$V$65,1),"—")</f>
        <v>121.5</v>
      </c>
      <c r="E12" s="25">
        <f>IFERROR(QUARTILE(Registro!$V$2:$V$65,3),"—")</f>
        <v>222.75</v>
      </c>
      <c r="F12" s="25">
        <f>IFERROR(AVERAGE(Registro!$V$2:$V$65),"—")</f>
        <v>183.625</v>
      </c>
      <c r="G12" s="26">
        <f>IFERROR(COUNTIFS(Registro!$C$2:$C$65,"Pre",Registro!$R$2:$R$65,"Sí",Registro!$H$2:$H$65,"C",Registro!$J$2:$J$65,"Sí")/COUNTIFS(Registro!$C$2:$C$65,"Pre",Registro!$R$2:$R$65,"Sí",Registro!$H$2:$H$65,"C"),"—")</f>
        <v>0.1875</v>
      </c>
    </row>
    <row r="13">
      <c r="A13" s="22" t="s">
        <v>120</v>
      </c>
      <c r="B13" s="22">
        <f>COUNT(Registro!$W$2:$W$65)</f>
        <v>16</v>
      </c>
      <c r="C13" s="25">
        <f>IFERROR(MEDIAN(Registro!$W$2:$W$65),"—")</f>
        <v>300</v>
      </c>
      <c r="D13" s="25">
        <f>IFERROR(QUARTILE(Registro!$W$2:$W$65,1),"—")</f>
        <v>236.75</v>
      </c>
      <c r="E13" s="25">
        <f>IFERROR(QUARTILE(Registro!$W$2:$W$65,3),"—")</f>
        <v>300</v>
      </c>
      <c r="F13" s="25">
        <f>IFERROR(AVERAGE(Registro!$W$2:$W$65),"—")</f>
        <v>250.375</v>
      </c>
      <c r="G13" s="26">
        <f>IFERROR(COUNTIFS(Registro!$C$2:$C$65,"Pre",Registro!$R$2:$R$65,"Sí",Registro!$H$2:$H$65,"D",Registro!$J$2:$J$65,"Sí")/COUNTIFS(Registro!$C$2:$C$65,"Pre",Registro!$R$2:$R$65,"Sí",Registro!$H$2:$H$65,"D"),"—")</f>
        <v>0.625</v>
      </c>
    </row>
    <row r="14">
      <c r="A14" s="23" t="s">
        <v>125</v>
      </c>
      <c r="B14" s="22"/>
      <c r="C14" s="22"/>
      <c r="D14" s="22"/>
      <c r="E14" s="22"/>
      <c r="F14" s="22"/>
      <c r="G14" s="22"/>
    </row>
    <row r="15">
      <c r="A15" s="22"/>
      <c r="B15" s="22"/>
      <c r="C15" s="22"/>
      <c r="D15" s="22"/>
      <c r="E15" s="22"/>
      <c r="F15" s="22"/>
      <c r="G15" s="22"/>
    </row>
    <row r="16">
      <c r="A16" s="24" t="s">
        <v>126</v>
      </c>
      <c r="B16" s="22"/>
      <c r="C16" s="22"/>
      <c r="D16" s="22"/>
      <c r="E16" s="22"/>
      <c r="F16" s="22"/>
      <c r="G16" s="22"/>
    </row>
    <row r="17">
      <c r="A17" s="1"/>
      <c r="B17" s="1" t="s">
        <v>127</v>
      </c>
      <c r="C17" s="1" t="s">
        <v>128</v>
      </c>
      <c r="D17" s="1" t="s">
        <v>129</v>
      </c>
      <c r="E17" s="1" t="s">
        <v>130</v>
      </c>
      <c r="F17" s="22"/>
      <c r="G17" s="22"/>
    </row>
    <row r="18">
      <c r="A18" s="22" t="s">
        <v>114</v>
      </c>
      <c r="B18" s="26">
        <f>IFERROR(COUNTIFS(Registro!$C$2:$C$65,"Pre",Registro!$R$2:$R$65,"Sí",Registro!$H$2:$H$65,"A",Registro!$M$2:$M$65,"Correcta")/COUNTIFS(Registro!$C$2:$C$65,"Pre",Registro!$R$2:$R$65,"Sí",Registro!$H$2:$H$65,"A"),"—")</f>
        <v>0.875</v>
      </c>
      <c r="C18" s="26">
        <f>IFERROR(COUNTIFS(Registro!$C$2:$C$65,"Pre",Registro!$R$2:$R$65,"Sí",Registro!$H$2:$H$65,"A",Registro!$M$2:$M$65,"Incorrecta")/COUNTIFS(Registro!$C$2:$C$65,"Pre",Registro!$R$2:$R$65,"Sí",Registro!$H$2:$H$65,"A"),"—")</f>
        <v>0.125</v>
      </c>
      <c r="D18" s="26">
        <f>IFERROR(COUNTIFS(Registro!$C$2:$C$65,"Pre",Registro!$R$2:$R$65,"Sí",Registro!$H$2:$H$65,"A",Registro!$M$2:$M$65,"No resuelta")/COUNTIFS(Registro!$C$2:$C$65,"Pre",Registro!$R$2:$R$65,"Sí",Registro!$H$2:$H$65,"A"),"—")</f>
        <v>0</v>
      </c>
      <c r="E18" s="26">
        <f t="shared" ref="E18:E22" si="1">IFERROR(C18+D18,"—")</f>
        <v>0.125</v>
      </c>
      <c r="F18" s="22"/>
      <c r="G18" s="22"/>
    </row>
    <row r="19">
      <c r="A19" s="22" t="s">
        <v>117</v>
      </c>
      <c r="B19" s="26">
        <f>IFERROR(COUNTIFS(Registro!$C$2:$C$65,"Pre",Registro!$R$2:$R$65,"Sí",Registro!$H$2:$H$65,"B",Registro!$M$2:$M$65,"Correcta")/COUNTIFS(Registro!$C$2:$C$65,"Pre",Registro!$R$2:$R$65,"Sí",Registro!$H$2:$H$65,"B"),"—")</f>
        <v>0.5625</v>
      </c>
      <c r="C19" s="26">
        <f>IFERROR(COUNTIFS(Registro!$C$2:$C$65,"Pre",Registro!$R$2:$R$65,"Sí",Registro!$H$2:$H$65,"B",Registro!$M$2:$M$65,"Incorrecta")/COUNTIFS(Registro!$C$2:$C$65,"Pre",Registro!$R$2:$R$65,"Sí",Registro!$H$2:$H$65,"B"),"—")</f>
        <v>0.4375</v>
      </c>
      <c r="D19" s="26">
        <f>IFERROR(COUNTIFS(Registro!$C$2:$C$65,"Pre",Registro!$R$2:$R$65,"Sí",Registro!$H$2:$H$65,"B",Registro!$M$2:$M$65,"No resuelta")/COUNTIFS(Registro!$C$2:$C$65,"Pre",Registro!$R$2:$R$65,"Sí",Registro!$H$2:$H$65,"B"),"—")</f>
        <v>0</v>
      </c>
      <c r="E19" s="26">
        <f t="shared" si="1"/>
        <v>0.4375</v>
      </c>
      <c r="F19" s="22"/>
      <c r="G19" s="22"/>
    </row>
    <row r="20" ht="15.75" customHeight="1">
      <c r="A20" s="22" t="s">
        <v>119</v>
      </c>
      <c r="B20" s="26">
        <f>IFERROR(COUNTIFS(Registro!$C$2:$C$65,"Pre",Registro!$R$2:$R$65,"Sí",Registro!$H$2:$H$65,"C",Registro!$M$2:$M$65,"Correcta")/COUNTIFS(Registro!$C$2:$C$65,"Pre",Registro!$R$2:$R$65,"Sí",Registro!$H$2:$H$65,"C"),"—")</f>
        <v>0.3125</v>
      </c>
      <c r="C20" s="26">
        <f>IFERROR(COUNTIFS(Registro!$C$2:$C$65,"Pre",Registro!$R$2:$R$65,"Sí",Registro!$H$2:$H$65,"C",Registro!$M$2:$M$65,"Incorrecta")/COUNTIFS(Registro!$C$2:$C$65,"Pre",Registro!$R$2:$R$65,"Sí",Registro!$H$2:$H$65,"C"),"—")</f>
        <v>0.5</v>
      </c>
      <c r="D20" s="26">
        <f>IFERROR(COUNTIFS(Registro!$C$2:$C$65,"Pre",Registro!$R$2:$R$65,"Sí",Registro!$H$2:$H$65,"C",Registro!$M$2:$M$65,"No resuelta")/COUNTIFS(Registro!$C$2:$C$65,"Pre",Registro!$R$2:$R$65,"Sí",Registro!$H$2:$H$65,"C"),"—")</f>
        <v>0.1875</v>
      </c>
      <c r="E20" s="26">
        <f t="shared" si="1"/>
        <v>0.6875</v>
      </c>
      <c r="F20" s="22"/>
      <c r="G20" s="22"/>
    </row>
    <row r="21" ht="15.75" customHeight="1">
      <c r="A21" s="22" t="s">
        <v>120</v>
      </c>
      <c r="B21" s="26">
        <f>IFERROR(COUNTIFS(Registro!$C$2:$C$65,"Pre",Registro!$R$2:$R$65,"Sí",Registro!$H$2:$H$65,"D",Registro!$M$2:$M$65,"Correcta")/COUNTIFS(Registro!$C$2:$C$65,"Pre",Registro!$R$2:$R$65,"Sí",Registro!$H$2:$H$65,"D"),"—")</f>
        <v>0</v>
      </c>
      <c r="C21" s="26">
        <f>IFERROR(COUNTIFS(Registro!$C$2:$C$65,"Pre",Registro!$R$2:$R$65,"Sí",Registro!$H$2:$H$65,"D",Registro!$M$2:$M$65,"Incorrecta")/COUNTIFS(Registro!$C$2:$C$65,"Pre",Registro!$R$2:$R$65,"Sí",Registro!$H$2:$H$65,"D"),"—")</f>
        <v>0.375</v>
      </c>
      <c r="D21" s="26">
        <f>IFERROR(COUNTIFS(Registro!$C$2:$C$65,"Pre",Registro!$R$2:$R$65,"Sí",Registro!$H$2:$H$65,"D",Registro!$M$2:$M$65,"No resuelta")/COUNTIFS(Registro!$C$2:$C$65,"Pre",Registro!$R$2:$R$65,"Sí",Registro!$H$2:$H$65,"D"),"—")</f>
        <v>0.625</v>
      </c>
      <c r="E21" s="26">
        <f t="shared" si="1"/>
        <v>1</v>
      </c>
      <c r="F21" s="22"/>
      <c r="G21" s="22"/>
    </row>
    <row r="22" ht="15.75" customHeight="1">
      <c r="A22" s="27" t="s">
        <v>137</v>
      </c>
      <c r="B22" s="28">
        <f>IFERROR(COUNTIFS(Registro!$C$2:$C$65,"Pre",Registro!$R$2:$R$65,"Sí",Registro!$M$2:$M$65,"Correcta")/COUNTIFS(Registro!$C$2:$C$65,"Pre",Registro!$R$2:$R$65,"Sí"),"—")</f>
        <v>0.4375</v>
      </c>
      <c r="C22" s="28">
        <f>IFERROR(COUNTIFS(Registro!$C$2:$C$65,"Pre",Registro!$R$2:$R$65,"Sí",Registro!$M$2:$M$65,"Incorrecta")/COUNTIFS(Registro!$C$2:$C$65,"Pre",Registro!$R$2:$R$65,"Sí"),"—")</f>
        <v>0.359375</v>
      </c>
      <c r="D22" s="28">
        <f>IFERROR(COUNTIFS(Registro!$C$2:$C$65,"Pre",Registro!$R$2:$R$65,"Sí",Registro!$M$2:$M$65,"No resuelta")/COUNTIFS(Registro!$C$2:$C$65,"Pre",Registro!$R$2:$R$65,"Sí"),"—")</f>
        <v>0.203125</v>
      </c>
      <c r="E22" s="28">
        <f t="shared" si="1"/>
        <v>0.5625</v>
      </c>
      <c r="F22" s="22"/>
      <c r="G22" s="22"/>
    </row>
    <row r="23" ht="15.75" customHeight="1">
      <c r="A23" s="23" t="s">
        <v>138</v>
      </c>
      <c r="B23" s="22"/>
      <c r="C23" s="22"/>
      <c r="D23" s="22"/>
      <c r="E23" s="22"/>
      <c r="F23" s="22"/>
      <c r="G23" s="22"/>
    </row>
    <row r="24" ht="15.75" customHeight="1">
      <c r="A24" s="22"/>
      <c r="B24" s="22"/>
      <c r="C24" s="22"/>
      <c r="D24" s="22"/>
      <c r="E24" s="22"/>
      <c r="F24" s="22"/>
      <c r="G24" s="22"/>
    </row>
    <row r="25" ht="15.75" customHeight="1">
      <c r="A25" s="24" t="s">
        <v>139</v>
      </c>
      <c r="B25" s="22"/>
      <c r="C25" s="22"/>
      <c r="D25" s="22"/>
      <c r="E25" s="22"/>
      <c r="F25" s="22"/>
      <c r="G25" s="22"/>
    </row>
    <row r="26" ht="15.75" customHeight="1">
      <c r="A26" s="22" t="s">
        <v>141</v>
      </c>
      <c r="B26" s="22">
        <f>IFERROR(MEDIAN(Registro!$AE$2:$AE$65),"—")</f>
        <v>3</v>
      </c>
      <c r="C26" s="22"/>
      <c r="D26" s="22"/>
      <c r="E26" s="22"/>
      <c r="F26" s="22"/>
      <c r="G26" s="22"/>
    </row>
    <row r="27" ht="15.75" customHeight="1">
      <c r="A27" s="22" t="s">
        <v>142</v>
      </c>
      <c r="B27" s="22">
        <f>IFERROR(MAX(Registro!$AE$2:$AE$65),"—")</f>
        <v>6</v>
      </c>
      <c r="C27" s="22"/>
      <c r="D27" s="22"/>
      <c r="E27" s="22"/>
      <c r="F27" s="22"/>
      <c r="G27" s="22"/>
    </row>
    <row r="28" ht="15.75" customHeight="1">
      <c r="A28" s="22" t="s">
        <v>144</v>
      </c>
      <c r="B28" s="26">
        <f>IFERROR(COUNTIFS(Registro!$C$2:$C$65,"Pre",Registro!$R$2:$R$65,"Sí",Registro!$O$2:$O$65,"Sí")/COUNTIFS(Registro!$C$2:$C$65,"Pre",Registro!$R$2:$R$65,"Sí"),"—")</f>
        <v>0.46875</v>
      </c>
      <c r="C28" s="22"/>
      <c r="D28" s="22"/>
      <c r="E28" s="22"/>
      <c r="F28" s="22"/>
      <c r="G28" s="22"/>
    </row>
    <row r="29" ht="15.75" customHeight="1">
      <c r="A29" s="22" t="s">
        <v>145</v>
      </c>
      <c r="B29" s="22">
        <f>COUNTIFS(Registro!$C$2:$C$65,"Pre",Registro!$R$2:$R$65,"Sí",Registro!$Q$2:$Q$65,"Sí")</f>
        <v>4</v>
      </c>
      <c r="C29" s="22"/>
      <c r="D29" s="22"/>
      <c r="E29" s="22"/>
      <c r="F29" s="22"/>
      <c r="G29" s="22"/>
    </row>
    <row r="30" ht="15.75" customHeight="1">
      <c r="A30" s="22"/>
      <c r="B30" s="22"/>
      <c r="C30" s="22"/>
      <c r="D30" s="22"/>
      <c r="E30" s="22"/>
      <c r="F30" s="22"/>
      <c r="G30" s="22"/>
    </row>
    <row r="31" ht="15.75" customHeight="1">
      <c r="A31" s="24" t="s">
        <v>146</v>
      </c>
      <c r="B31" s="22"/>
      <c r="C31" s="22"/>
      <c r="D31" s="22"/>
      <c r="E31" s="22"/>
      <c r="F31" s="22"/>
      <c r="G31" s="22"/>
    </row>
    <row r="32" ht="15.75" customHeight="1">
      <c r="A32" s="1"/>
      <c r="B32" s="1" t="s">
        <v>105</v>
      </c>
      <c r="C32" s="1" t="s">
        <v>106</v>
      </c>
      <c r="D32" s="22"/>
      <c r="E32" s="22"/>
      <c r="F32" s="22"/>
      <c r="G32" s="22"/>
    </row>
    <row r="33" ht="15.75" customHeight="1">
      <c r="A33" s="22" t="s">
        <v>147</v>
      </c>
      <c r="B33" s="22">
        <f>COUNT(Registro!$Z$2:$Z$65)</f>
        <v>16</v>
      </c>
      <c r="C33" s="25">
        <f>IFERROR(MEDIAN(Registro!$Z$2:$Z$65),"—")</f>
        <v>81.5</v>
      </c>
      <c r="D33" s="22"/>
      <c r="E33" s="22"/>
      <c r="F33" s="22"/>
      <c r="G33" s="22"/>
    </row>
    <row r="34" ht="15.75" customHeight="1">
      <c r="A34" s="22" t="s">
        <v>148</v>
      </c>
      <c r="B34" s="22">
        <f>COUNT(Registro!$AA$2:$AA$65)</f>
        <v>16</v>
      </c>
      <c r="C34" s="25">
        <f>IFERROR(MEDIAN(Registro!$AA$2:$AA$65),"—")</f>
        <v>107</v>
      </c>
      <c r="D34" s="22"/>
      <c r="E34" s="22"/>
      <c r="F34" s="22"/>
      <c r="G34" s="22"/>
    </row>
    <row r="35" ht="15.75" customHeight="1">
      <c r="A35" s="22" t="s">
        <v>149</v>
      </c>
      <c r="B35" s="22">
        <f>COUNT(Registro!$AB$2:$AB$65)</f>
        <v>32</v>
      </c>
      <c r="C35" s="25">
        <f>IFERROR(MEDIAN(Registro!$AB$2:$AB$65),"—")</f>
        <v>153.5</v>
      </c>
      <c r="D35" s="22"/>
      <c r="E35" s="22"/>
      <c r="F35" s="22"/>
      <c r="G35" s="22"/>
    </row>
    <row r="36" ht="15.75" customHeight="1">
      <c r="A36" s="23"/>
      <c r="B36" s="22"/>
      <c r="C36" s="22"/>
      <c r="D36" s="22"/>
      <c r="E36" s="22"/>
      <c r="F36" s="22"/>
      <c r="G36" s="22"/>
    </row>
    <row r="37" ht="15.75" customHeight="1">
      <c r="A37" s="22"/>
      <c r="B37" s="22"/>
      <c r="C37" s="22"/>
      <c r="D37" s="22"/>
      <c r="E37" s="22"/>
      <c r="F37" s="22"/>
      <c r="G37" s="22"/>
    </row>
    <row r="38" ht="15.75" customHeight="1">
      <c r="A38" s="22"/>
      <c r="B38" s="22"/>
      <c r="C38" s="22"/>
      <c r="D38" s="22"/>
      <c r="E38" s="22"/>
      <c r="F38" s="22"/>
      <c r="G38" s="22"/>
    </row>
    <row r="39" ht="15.75" customHeight="1">
      <c r="A39" s="22"/>
      <c r="B39" s="22"/>
      <c r="C39" s="22"/>
      <c r="D39" s="22"/>
      <c r="E39" s="22"/>
      <c r="F39" s="22"/>
      <c r="G39" s="22"/>
    </row>
    <row r="40" ht="15.75" customHeight="1">
      <c r="A40" s="24" t="s">
        <v>150</v>
      </c>
      <c r="B40" s="22"/>
      <c r="C40" s="22"/>
      <c r="D40" s="22"/>
      <c r="E40" s="22"/>
      <c r="F40" s="22"/>
      <c r="G40" s="22"/>
    </row>
    <row r="41" ht="15.75" customHeight="1">
      <c r="A41" s="22" t="s">
        <v>151</v>
      </c>
      <c r="B41" s="25">
        <f>C6</f>
        <v>109</v>
      </c>
      <c r="C41" s="22"/>
      <c r="D41" s="22"/>
      <c r="E41" s="22"/>
      <c r="F41" s="22"/>
      <c r="G41" s="22"/>
    </row>
    <row r="42" ht="15.75" customHeight="1">
      <c r="A42" s="22" t="s">
        <v>152</v>
      </c>
      <c r="B42" s="29">
        <v>2.0</v>
      </c>
      <c r="C42" s="22"/>
      <c r="D42" s="22"/>
      <c r="E42" s="22"/>
      <c r="F42" s="22"/>
      <c r="G42" s="22"/>
    </row>
    <row r="43" ht="15.75" customHeight="1">
      <c r="A43" s="22" t="s">
        <v>153</v>
      </c>
      <c r="B43" s="26">
        <f>IFERROR(1-B42/B41,"—")</f>
        <v>0.9816513761</v>
      </c>
      <c r="C43" s="22"/>
      <c r="D43" s="22"/>
      <c r="E43" s="22"/>
      <c r="F43" s="22"/>
      <c r="G43" s="22"/>
    </row>
    <row r="44" ht="15.75" customHeight="1">
      <c r="A44" s="22" t="s">
        <v>154</v>
      </c>
      <c r="B44" s="26">
        <f>C22</f>
        <v>0.359375</v>
      </c>
      <c r="C44" s="22"/>
      <c r="D44" s="22"/>
      <c r="E44" s="22"/>
      <c r="F44" s="22"/>
      <c r="G44" s="22"/>
    </row>
    <row r="45" ht="15.75" customHeight="1">
      <c r="A45" s="22" t="s">
        <v>155</v>
      </c>
      <c r="B45" s="26">
        <f>E22</f>
        <v>0.5625</v>
      </c>
      <c r="C45" s="22"/>
      <c r="D45" s="22"/>
      <c r="E45" s="22"/>
      <c r="F45" s="22"/>
      <c r="G45" s="22"/>
    </row>
    <row r="46" ht="15.75" customHeight="1">
      <c r="A46" s="22" t="s">
        <v>156</v>
      </c>
      <c r="B46" s="30">
        <v>0.0</v>
      </c>
      <c r="C46" s="22"/>
      <c r="D46" s="22"/>
      <c r="E46" s="22"/>
      <c r="F46" s="22"/>
      <c r="G46" s="22"/>
    </row>
    <row r="47" ht="15.75" customHeight="1">
      <c r="A47" s="23" t="s">
        <v>157</v>
      </c>
      <c r="B47" s="22"/>
      <c r="C47" s="22"/>
      <c r="D47" s="22"/>
      <c r="E47" s="22"/>
      <c r="F47" s="22"/>
      <c r="G47" s="22"/>
    </row>
    <row r="48" ht="15.75" customHeight="1">
      <c r="A48" s="22"/>
      <c r="B48" s="22"/>
      <c r="C48" s="22"/>
      <c r="D48" s="22"/>
      <c r="E48" s="22"/>
      <c r="F48" s="22"/>
      <c r="G48" s="22"/>
    </row>
    <row r="49" ht="15.75" customHeight="1">
      <c r="A49" s="24" t="s">
        <v>158</v>
      </c>
      <c r="B49" s="22"/>
      <c r="C49" s="22"/>
      <c r="D49" s="22"/>
      <c r="E49" s="22"/>
      <c r="F49" s="22"/>
      <c r="G49" s="22"/>
    </row>
    <row r="50" ht="15.75" customHeight="1">
      <c r="A50" s="1"/>
      <c r="B50" s="1" t="s">
        <v>105</v>
      </c>
      <c r="C50" s="1" t="s">
        <v>106</v>
      </c>
      <c r="D50" s="1" t="s">
        <v>159</v>
      </c>
      <c r="E50" s="1" t="s">
        <v>160</v>
      </c>
      <c r="F50" s="22"/>
      <c r="G50" s="22"/>
    </row>
    <row r="51" ht="15.75" customHeight="1">
      <c r="A51" s="22" t="s">
        <v>161</v>
      </c>
      <c r="B51" s="22">
        <f>COUNT(Registro!$X$2:$X$65)</f>
        <v>64</v>
      </c>
      <c r="C51" s="25">
        <f>IFERROR(MEDIAN(Registro!$X$2:$X$65),"—")</f>
        <v>109</v>
      </c>
      <c r="D51" s="26">
        <f>C22</f>
        <v>0.359375</v>
      </c>
      <c r="E51" s="26">
        <f>E22</f>
        <v>0.5625</v>
      </c>
      <c r="F51" s="22"/>
      <c r="G51" s="22"/>
    </row>
    <row r="52" ht="15.75" customHeight="1">
      <c r="A52" s="22" t="s">
        <v>162</v>
      </c>
      <c r="B52" s="22">
        <f>COUNT(Registro!$Y$2:$Y$65)</f>
        <v>0</v>
      </c>
      <c r="C52" s="25" t="str">
        <f>IFERROR(MEDIAN(Registro!$Y$2:$Y$65),"—")</f>
        <v>—</v>
      </c>
      <c r="D52" s="26" t="str">
        <f>IFERROR(COUNTIFS(Registro!$C$2:$C$65,"Post",Registro!$R$2:$R$65,"Sí",Registro!$M$2:$M$65,"Incorrecta")/COUNTIFS(Registro!$C$2:$C$65,"Post",Registro!$R$2:$R$65,"Sí"),"—")</f>
        <v>—</v>
      </c>
      <c r="E52" s="26" t="str">
        <f>IFERROR((COUNTIFS(Registro!$C$2:$C$65,"Post",Registro!$R$2:$R$65,"Sí",Registro!$M$2:$M$65,"Incorrecta")+COUNTIFS(Registro!$C$2:$C$65,"Post",Registro!$R$2:$R$65,"Sí",Registro!$M$2:$M$65,"No resuelta"))/COUNTIFS(Registro!$C$2:$C$65,"Post",Registro!$R$2:$R$65,"Sí"),"—")</f>
        <v>—</v>
      </c>
      <c r="F52" s="22"/>
      <c r="G52" s="22"/>
    </row>
    <row r="53" ht="15.75" customHeight="1">
      <c r="A53" s="23" t="s">
        <v>165</v>
      </c>
      <c r="B53" s="22"/>
      <c r="C53" s="22"/>
      <c r="D53" s="22"/>
      <c r="E53" s="22"/>
      <c r="F53" s="22"/>
      <c r="G53" s="22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2.0"/>
    <col customWidth="1" min="3" max="3" width="24.0"/>
    <col customWidth="1" min="4" max="5" width="18.0"/>
    <col customWidth="1" min="6" max="7" width="16.0"/>
    <col customWidth="1" min="8" max="8" width="20.0"/>
    <col customWidth="1" min="9" max="10" width="16.0"/>
    <col customWidth="1" min="11" max="11" width="15.0"/>
    <col customWidth="1" min="12" max="12" width="18.0"/>
    <col customWidth="1" min="13" max="13" width="17.0"/>
    <col customWidth="1" min="14" max="14" width="26.0"/>
    <col customWidth="1" min="15" max="23" width="8.71"/>
  </cols>
  <sheetData>
    <row r="1">
      <c r="A1" s="2" t="s">
        <v>1</v>
      </c>
      <c r="B1" s="2" t="s">
        <v>15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22</v>
      </c>
      <c r="H1" s="2" t="s">
        <v>24</v>
      </c>
      <c r="I1" s="2" t="s">
        <v>26</v>
      </c>
      <c r="J1" s="2" t="s">
        <v>27</v>
      </c>
      <c r="K1" s="2" t="s">
        <v>21</v>
      </c>
      <c r="L1" s="2" t="s">
        <v>30</v>
      </c>
      <c r="M1" s="2" t="s">
        <v>32</v>
      </c>
      <c r="N1" s="2" t="s">
        <v>34</v>
      </c>
    </row>
    <row r="2">
      <c r="A2" s="5" t="s">
        <v>37</v>
      </c>
      <c r="B2" s="6" t="s">
        <v>42</v>
      </c>
      <c r="C2" s="6" t="s">
        <v>44</v>
      </c>
      <c r="D2" s="6" t="s">
        <v>46</v>
      </c>
      <c r="E2" s="6" t="s">
        <v>47</v>
      </c>
      <c r="F2" s="8">
        <v>46258.0</v>
      </c>
      <c r="G2" s="10"/>
      <c r="H2" s="6" t="s">
        <v>50</v>
      </c>
      <c r="I2" s="10">
        <v>8.0</v>
      </c>
      <c r="J2" s="6">
        <v>10.0</v>
      </c>
      <c r="K2" s="10" t="s">
        <v>52</v>
      </c>
      <c r="L2" s="10">
        <v>6.0</v>
      </c>
      <c r="M2" s="10">
        <v>3.0</v>
      </c>
      <c r="N2" s="11" t="s">
        <v>53</v>
      </c>
    </row>
    <row r="3">
      <c r="A3" s="13" t="s">
        <v>55</v>
      </c>
      <c r="B3" s="14" t="s">
        <v>56</v>
      </c>
      <c r="C3" s="14" t="s">
        <v>57</v>
      </c>
      <c r="D3" s="14" t="s">
        <v>46</v>
      </c>
      <c r="E3" s="14" t="s">
        <v>47</v>
      </c>
      <c r="F3" s="15">
        <v>46259.0</v>
      </c>
      <c r="G3" s="16"/>
      <c r="H3" s="14" t="s">
        <v>50</v>
      </c>
      <c r="I3" s="14">
        <v>5.0</v>
      </c>
      <c r="J3" s="16">
        <v>10.0</v>
      </c>
      <c r="K3" s="16" t="s">
        <v>58</v>
      </c>
      <c r="L3" s="16">
        <v>2.0</v>
      </c>
      <c r="M3" s="16">
        <v>1.0</v>
      </c>
      <c r="N3" s="17" t="s">
        <v>53</v>
      </c>
    </row>
    <row r="4">
      <c r="A4" s="13" t="s">
        <v>60</v>
      </c>
      <c r="B4" s="14" t="s">
        <v>61</v>
      </c>
      <c r="C4" s="14" t="s">
        <v>62</v>
      </c>
      <c r="D4" s="14" t="s">
        <v>63</v>
      </c>
      <c r="E4" s="14" t="s">
        <v>47</v>
      </c>
      <c r="F4" s="15">
        <v>46260.0</v>
      </c>
      <c r="G4" s="16"/>
      <c r="H4" s="14" t="s">
        <v>50</v>
      </c>
      <c r="I4" s="16">
        <v>0.0</v>
      </c>
      <c r="J4" s="14">
        <v>6.0</v>
      </c>
      <c r="K4" s="16" t="s">
        <v>58</v>
      </c>
      <c r="L4" s="16">
        <v>0.0</v>
      </c>
      <c r="M4" s="16">
        <v>0.0</v>
      </c>
      <c r="N4" s="17" t="s">
        <v>53</v>
      </c>
    </row>
    <row r="5">
      <c r="A5" s="13" t="s">
        <v>67</v>
      </c>
      <c r="B5" s="14" t="s">
        <v>68</v>
      </c>
      <c r="C5" s="16" t="s">
        <v>69</v>
      </c>
      <c r="D5" s="14" t="s">
        <v>46</v>
      </c>
      <c r="E5" s="14" t="s">
        <v>47</v>
      </c>
      <c r="F5" s="15">
        <v>46261.0</v>
      </c>
      <c r="G5" s="16"/>
      <c r="H5" s="14" t="s">
        <v>50</v>
      </c>
      <c r="I5" s="14">
        <v>12.0</v>
      </c>
      <c r="J5" s="14">
        <v>12.0</v>
      </c>
      <c r="K5" s="16" t="s">
        <v>52</v>
      </c>
      <c r="L5" s="16">
        <v>9.0</v>
      </c>
      <c r="M5" s="16">
        <v>5.0</v>
      </c>
      <c r="N5" s="17" t="s">
        <v>53</v>
      </c>
    </row>
    <row r="6">
      <c r="A6" s="13" t="s">
        <v>70</v>
      </c>
      <c r="B6" s="14" t="s">
        <v>71</v>
      </c>
      <c r="C6" s="14" t="s">
        <v>57</v>
      </c>
      <c r="D6" s="14" t="s">
        <v>46</v>
      </c>
      <c r="E6" s="14" t="s">
        <v>47</v>
      </c>
      <c r="F6" s="15">
        <v>46262.0</v>
      </c>
      <c r="G6" s="16"/>
      <c r="H6" s="14" t="s">
        <v>50</v>
      </c>
      <c r="I6" s="16">
        <v>1.0</v>
      </c>
      <c r="J6" s="14">
        <v>2.0</v>
      </c>
      <c r="K6" s="16" t="s">
        <v>58</v>
      </c>
      <c r="L6" s="16">
        <v>1.0</v>
      </c>
      <c r="M6" s="16">
        <v>1.0</v>
      </c>
      <c r="N6" s="17" t="s">
        <v>53</v>
      </c>
    </row>
    <row r="7">
      <c r="A7" s="13" t="s">
        <v>72</v>
      </c>
      <c r="B7" s="14" t="s">
        <v>73</v>
      </c>
      <c r="C7" s="14" t="s">
        <v>57</v>
      </c>
      <c r="D7" s="14" t="s">
        <v>46</v>
      </c>
      <c r="E7" s="14" t="s">
        <v>47</v>
      </c>
      <c r="F7" s="15">
        <v>46263.0</v>
      </c>
      <c r="G7" s="16"/>
      <c r="H7" s="14" t="s">
        <v>50</v>
      </c>
      <c r="I7" s="16">
        <v>5.0</v>
      </c>
      <c r="J7" s="14">
        <v>3.0</v>
      </c>
      <c r="K7" s="16" t="s">
        <v>74</v>
      </c>
      <c r="L7" s="16">
        <v>4.0</v>
      </c>
      <c r="M7" s="16">
        <v>2.0</v>
      </c>
      <c r="N7" s="17" t="s">
        <v>53</v>
      </c>
    </row>
    <row r="8">
      <c r="A8" s="13" t="s">
        <v>75</v>
      </c>
      <c r="B8" s="14" t="s">
        <v>76</v>
      </c>
      <c r="C8" s="16" t="s">
        <v>57</v>
      </c>
      <c r="D8" s="14" t="s">
        <v>46</v>
      </c>
      <c r="E8" s="14" t="s">
        <v>47</v>
      </c>
      <c r="F8" s="15">
        <v>46264.0</v>
      </c>
      <c r="G8" s="16"/>
      <c r="H8" s="14" t="s">
        <v>50</v>
      </c>
      <c r="I8" s="14">
        <v>1.0</v>
      </c>
      <c r="J8" s="16">
        <v>2.0</v>
      </c>
      <c r="K8" s="16" t="s">
        <v>58</v>
      </c>
      <c r="L8" s="16">
        <v>0.0</v>
      </c>
      <c r="M8" s="16">
        <v>0.0</v>
      </c>
      <c r="N8" s="17" t="s">
        <v>53</v>
      </c>
    </row>
    <row r="9">
      <c r="A9" s="13" t="s">
        <v>77</v>
      </c>
      <c r="B9" s="14" t="s">
        <v>78</v>
      </c>
      <c r="C9" s="14" t="s">
        <v>57</v>
      </c>
      <c r="D9" s="14" t="s">
        <v>46</v>
      </c>
      <c r="E9" s="14" t="s">
        <v>47</v>
      </c>
      <c r="F9" s="15">
        <v>46265.0</v>
      </c>
      <c r="G9" s="16"/>
      <c r="H9" s="14" t="s">
        <v>50</v>
      </c>
      <c r="I9" s="16">
        <v>3.0</v>
      </c>
      <c r="J9" s="14">
        <v>3.0</v>
      </c>
      <c r="K9" s="16" t="s">
        <v>74</v>
      </c>
      <c r="L9" s="16">
        <v>5.0</v>
      </c>
      <c r="M9" s="16">
        <v>2.0</v>
      </c>
      <c r="N9" s="17" t="s">
        <v>53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dataValidations>
    <dataValidation type="list" allowBlank="1" sqref="K2:K9">
      <formula1>"Sí,Parcial,No"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2" width="9.0"/>
    <col customWidth="1" min="3" max="3" width="10.0"/>
    <col customWidth="1" min="4" max="4" width="8.0"/>
    <col customWidth="1" min="5" max="5" width="12.0"/>
    <col customWidth="1" min="6" max="6" width="9.0"/>
    <col customWidth="1" min="7" max="7" width="7.0"/>
    <col customWidth="1" min="8" max="8" width="6.0"/>
    <col customWidth="1" min="9" max="10" width="11.0"/>
    <col customWidth="1" min="11" max="11" width="34.0"/>
    <col customWidth="1" min="12" max="12" width="32.0"/>
    <col customWidth="1" min="13" max="13" width="13.0"/>
    <col customWidth="1" min="14" max="14" width="10.14"/>
    <col customWidth="1" min="15" max="15" width="10.0"/>
    <col customWidth="1" min="16" max="16" width="11.0"/>
    <col customWidth="1" min="17" max="17" width="9.0"/>
    <col customWidth="1" min="18" max="18" width="11.0"/>
    <col customWidth="1" min="19" max="19" width="8.71"/>
    <col customWidth="1" min="20" max="31" width="11.0"/>
    <col customWidth="1" min="32" max="33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3" t="s">
        <v>16</v>
      </c>
      <c r="P1" s="1" t="s">
        <v>21</v>
      </c>
      <c r="Q1" s="1" t="s">
        <v>23</v>
      </c>
      <c r="R1" s="1" t="s">
        <v>25</v>
      </c>
      <c r="T1" s="4" t="s">
        <v>28</v>
      </c>
      <c r="U1" s="4" t="s">
        <v>29</v>
      </c>
      <c r="V1" s="4" t="s">
        <v>31</v>
      </c>
      <c r="W1" s="4" t="s">
        <v>33</v>
      </c>
      <c r="X1" s="4" t="s">
        <v>35</v>
      </c>
      <c r="Y1" s="4" t="s">
        <v>36</v>
      </c>
      <c r="Z1" s="4" t="s">
        <v>38</v>
      </c>
      <c r="AA1" s="4" t="s">
        <v>39</v>
      </c>
      <c r="AB1" s="4" t="s">
        <v>40</v>
      </c>
      <c r="AC1" s="4" t="s">
        <v>41</v>
      </c>
      <c r="AD1" s="4" t="s">
        <v>43</v>
      </c>
      <c r="AE1" s="4" t="s">
        <v>45</v>
      </c>
      <c r="AG1" s="7" t="s">
        <v>48</v>
      </c>
    </row>
    <row r="2">
      <c r="A2" s="9" t="s">
        <v>49</v>
      </c>
      <c r="B2" s="9" t="s">
        <v>37</v>
      </c>
      <c r="C2" s="9" t="s">
        <v>51</v>
      </c>
      <c r="D2" s="9" t="s">
        <v>54</v>
      </c>
      <c r="E2" s="12">
        <v>46258.0</v>
      </c>
      <c r="F2" s="9">
        <v>1.0</v>
      </c>
      <c r="G2" s="9" t="s">
        <v>59</v>
      </c>
      <c r="H2" s="9" t="s">
        <v>54</v>
      </c>
      <c r="I2" s="9">
        <v>27.0</v>
      </c>
      <c r="J2" s="9" t="s">
        <v>58</v>
      </c>
      <c r="K2" s="9" t="s">
        <v>64</v>
      </c>
      <c r="L2" s="9" t="s">
        <v>65</v>
      </c>
      <c r="M2" s="9" t="s">
        <v>66</v>
      </c>
      <c r="N2" s="9">
        <v>1.0</v>
      </c>
      <c r="O2" s="9" t="s">
        <v>52</v>
      </c>
      <c r="P2" s="9" t="s">
        <v>52</v>
      </c>
      <c r="Q2" s="9" t="s">
        <v>58</v>
      </c>
      <c r="R2" s="9" t="s">
        <v>52</v>
      </c>
      <c r="T2" s="18">
        <f t="shared" ref="T2:T65" si="1">IF(AND(AND($C2="Pre",$R2="Sí"),$H2="A"),$I2,"")</f>
        <v>27</v>
      </c>
      <c r="U2" s="18" t="str">
        <f t="shared" ref="U2:U65" si="2">IF(AND(AND($C2="Pre",$R2="Sí"),$H2="B"),$I2,"")</f>
        <v/>
      </c>
      <c r="V2" s="18" t="str">
        <f t="shared" ref="V2:V65" si="3">IF(AND(AND($C2="Pre",$R2="Sí"),$H2="C"),$I2,"")</f>
        <v/>
      </c>
      <c r="W2" s="18" t="str">
        <f t="shared" ref="W2:W65" si="4">IF(AND(AND($C2="Pre",$R2="Sí"),$H2="D"),$I2,"")</f>
        <v/>
      </c>
      <c r="X2" s="18">
        <f t="shared" ref="X2:X65" si="5">IF(AND($C2="Pre",$R2="Sí"),$I2,"")</f>
        <v>27</v>
      </c>
      <c r="Y2" s="18" t="str">
        <f t="shared" ref="Y2:Y65" si="6">IF(AND($C2="Post",$R2="Sí"),$I2,"")</f>
        <v/>
      </c>
      <c r="Z2" s="18">
        <f t="shared" ref="Z2:Z65" si="7">IF(AND(AND($C2="Pre",$R2="Sí"),$P2="Sí"),$I2,"")</f>
        <v>27</v>
      </c>
      <c r="AA2" s="18" t="str">
        <f t="shared" ref="AA2:AA65" si="8">IF(AND(AND($C2="Pre",$R2="Sí"),$P2="Parcial"),$I2,"")</f>
        <v/>
      </c>
      <c r="AB2" s="18" t="str">
        <f t="shared" ref="AB2:AB65" si="9">IF(AND(AND($C2="Pre",$R2="Sí"),$P2="No"),$I2,"")</f>
        <v/>
      </c>
      <c r="AC2" s="18">
        <f t="shared" ref="AC2:AC65" si="10">IF(AND(AND($C2="Pre",$R2="Sí"),$F2&lt;=4),$I2,"")</f>
        <v>27</v>
      </c>
      <c r="AD2" s="18" t="str">
        <f t="shared" ref="AD2:AD65" si="11">IF(AND(AND($C2="Pre",$R2="Sí"),$F2&gt;=5),$I2,"")</f>
        <v/>
      </c>
      <c r="AE2" s="18">
        <f t="shared" ref="AE2:AE65" si="12">IF(AND($C2="Pre",$R2="Sí"),$N2,"")</f>
        <v>1</v>
      </c>
    </row>
    <row r="3">
      <c r="A3" s="19" t="s">
        <v>49</v>
      </c>
      <c r="B3" s="19" t="s">
        <v>37</v>
      </c>
      <c r="C3" s="19" t="s">
        <v>51</v>
      </c>
      <c r="D3" s="19" t="s">
        <v>54</v>
      </c>
      <c r="E3" s="20">
        <v>46258.0</v>
      </c>
      <c r="F3" s="19">
        <v>2.0</v>
      </c>
      <c r="G3" s="19" t="s">
        <v>79</v>
      </c>
      <c r="H3" s="19" t="s">
        <v>80</v>
      </c>
      <c r="I3" s="19">
        <v>74.0</v>
      </c>
      <c r="J3" s="19" t="s">
        <v>58</v>
      </c>
      <c r="K3" s="19" t="s">
        <v>81</v>
      </c>
      <c r="L3" s="19" t="s">
        <v>65</v>
      </c>
      <c r="M3" s="19" t="s">
        <v>66</v>
      </c>
      <c r="N3" s="19">
        <v>2.0</v>
      </c>
      <c r="O3" s="19" t="s">
        <v>52</v>
      </c>
      <c r="P3" s="19" t="s">
        <v>52</v>
      </c>
      <c r="Q3" s="19" t="s">
        <v>58</v>
      </c>
      <c r="R3" s="19" t="s">
        <v>52</v>
      </c>
      <c r="T3" s="18" t="str">
        <f t="shared" si="1"/>
        <v/>
      </c>
      <c r="U3" s="18">
        <f t="shared" si="2"/>
        <v>74</v>
      </c>
      <c r="V3" s="18" t="str">
        <f t="shared" si="3"/>
        <v/>
      </c>
      <c r="W3" s="18" t="str">
        <f t="shared" si="4"/>
        <v/>
      </c>
      <c r="X3" s="18">
        <f t="shared" si="5"/>
        <v>74</v>
      </c>
      <c r="Y3" s="18" t="str">
        <f t="shared" si="6"/>
        <v/>
      </c>
      <c r="Z3" s="18">
        <f t="shared" si="7"/>
        <v>74</v>
      </c>
      <c r="AA3" s="18" t="str">
        <f t="shared" si="8"/>
        <v/>
      </c>
      <c r="AB3" s="18" t="str">
        <f t="shared" si="9"/>
        <v/>
      </c>
      <c r="AC3" s="18">
        <f t="shared" si="10"/>
        <v>74</v>
      </c>
      <c r="AD3" s="18" t="str">
        <f t="shared" si="11"/>
        <v/>
      </c>
      <c r="AE3" s="18">
        <f t="shared" si="12"/>
        <v>2</v>
      </c>
    </row>
    <row r="4">
      <c r="A4" s="19" t="s">
        <v>49</v>
      </c>
      <c r="B4" s="19" t="s">
        <v>37</v>
      </c>
      <c r="C4" s="19" t="s">
        <v>51</v>
      </c>
      <c r="D4" s="19" t="s">
        <v>54</v>
      </c>
      <c r="E4" s="20">
        <v>46258.0</v>
      </c>
      <c r="F4" s="19">
        <v>3.0</v>
      </c>
      <c r="G4" s="19" t="s">
        <v>82</v>
      </c>
      <c r="H4" s="19" t="s">
        <v>83</v>
      </c>
      <c r="I4" s="19">
        <v>144.0</v>
      </c>
      <c r="J4" s="19" t="s">
        <v>58</v>
      </c>
      <c r="K4" s="19" t="s">
        <v>84</v>
      </c>
      <c r="L4" s="19" t="s">
        <v>65</v>
      </c>
      <c r="M4" s="19" t="s">
        <v>66</v>
      </c>
      <c r="N4" s="19">
        <v>3.0</v>
      </c>
      <c r="O4" s="19" t="s">
        <v>52</v>
      </c>
      <c r="P4" s="19" t="s">
        <v>52</v>
      </c>
      <c r="Q4" s="19" t="s">
        <v>58</v>
      </c>
      <c r="R4" s="19" t="s">
        <v>52</v>
      </c>
      <c r="T4" s="18" t="str">
        <f t="shared" si="1"/>
        <v/>
      </c>
      <c r="U4" s="18" t="str">
        <f t="shared" si="2"/>
        <v/>
      </c>
      <c r="V4" s="18">
        <f t="shared" si="3"/>
        <v>144</v>
      </c>
      <c r="W4" s="18" t="str">
        <f t="shared" si="4"/>
        <v/>
      </c>
      <c r="X4" s="18">
        <f t="shared" si="5"/>
        <v>144</v>
      </c>
      <c r="Y4" s="18" t="str">
        <f t="shared" si="6"/>
        <v/>
      </c>
      <c r="Z4" s="18">
        <f t="shared" si="7"/>
        <v>144</v>
      </c>
      <c r="AA4" s="18" t="str">
        <f t="shared" si="8"/>
        <v/>
      </c>
      <c r="AB4" s="18" t="str">
        <f t="shared" si="9"/>
        <v/>
      </c>
      <c r="AC4" s="18">
        <f t="shared" si="10"/>
        <v>144</v>
      </c>
      <c r="AD4" s="18" t="str">
        <f t="shared" si="11"/>
        <v/>
      </c>
      <c r="AE4" s="18">
        <f t="shared" si="12"/>
        <v>3</v>
      </c>
    </row>
    <row r="5">
      <c r="A5" s="19" t="s">
        <v>49</v>
      </c>
      <c r="B5" s="19" t="s">
        <v>37</v>
      </c>
      <c r="C5" s="19" t="s">
        <v>51</v>
      </c>
      <c r="D5" s="19" t="s">
        <v>54</v>
      </c>
      <c r="E5" s="20">
        <v>46258.0</v>
      </c>
      <c r="F5" s="19">
        <v>4.0</v>
      </c>
      <c r="G5" s="19" t="s">
        <v>85</v>
      </c>
      <c r="H5" s="19" t="s">
        <v>86</v>
      </c>
      <c r="I5" s="19">
        <v>300.0</v>
      </c>
      <c r="J5" s="19" t="s">
        <v>52</v>
      </c>
      <c r="K5" s="19" t="s">
        <v>87</v>
      </c>
      <c r="L5" s="19" t="s">
        <v>87</v>
      </c>
      <c r="M5" s="19" t="s">
        <v>88</v>
      </c>
      <c r="N5" s="19">
        <v>3.0</v>
      </c>
      <c r="O5" s="19" t="s">
        <v>52</v>
      </c>
      <c r="P5" s="19" t="s">
        <v>52</v>
      </c>
      <c r="Q5" s="19" t="s">
        <v>58</v>
      </c>
      <c r="R5" s="19" t="s">
        <v>52</v>
      </c>
      <c r="T5" s="18" t="str">
        <f t="shared" si="1"/>
        <v/>
      </c>
      <c r="U5" s="18" t="str">
        <f t="shared" si="2"/>
        <v/>
      </c>
      <c r="V5" s="18" t="str">
        <f t="shared" si="3"/>
        <v/>
      </c>
      <c r="W5" s="18">
        <f t="shared" si="4"/>
        <v>300</v>
      </c>
      <c r="X5" s="18">
        <f t="shared" si="5"/>
        <v>300</v>
      </c>
      <c r="Y5" s="18" t="str">
        <f t="shared" si="6"/>
        <v/>
      </c>
      <c r="Z5" s="18">
        <f t="shared" si="7"/>
        <v>300</v>
      </c>
      <c r="AA5" s="18" t="str">
        <f t="shared" si="8"/>
        <v/>
      </c>
      <c r="AB5" s="18" t="str">
        <f t="shared" si="9"/>
        <v/>
      </c>
      <c r="AC5" s="18">
        <f t="shared" si="10"/>
        <v>300</v>
      </c>
      <c r="AD5" s="18" t="str">
        <f t="shared" si="11"/>
        <v/>
      </c>
      <c r="AE5" s="18">
        <f t="shared" si="12"/>
        <v>3</v>
      </c>
    </row>
    <row r="6">
      <c r="A6" s="19" t="s">
        <v>49</v>
      </c>
      <c r="B6" s="19" t="s">
        <v>37</v>
      </c>
      <c r="C6" s="19" t="s">
        <v>51</v>
      </c>
      <c r="D6" s="19" t="s">
        <v>54</v>
      </c>
      <c r="E6" s="20">
        <v>46258.0</v>
      </c>
      <c r="F6" s="19">
        <v>5.0</v>
      </c>
      <c r="G6" s="19" t="s">
        <v>89</v>
      </c>
      <c r="H6" s="19" t="s">
        <v>54</v>
      </c>
      <c r="I6" s="19">
        <v>17.0</v>
      </c>
      <c r="J6" s="19" t="s">
        <v>58</v>
      </c>
      <c r="K6" s="19" t="s">
        <v>90</v>
      </c>
      <c r="L6" s="19" t="s">
        <v>91</v>
      </c>
      <c r="M6" s="19" t="s">
        <v>66</v>
      </c>
      <c r="N6" s="19">
        <v>1.0</v>
      </c>
      <c r="O6" s="19" t="s">
        <v>52</v>
      </c>
      <c r="P6" s="19" t="s">
        <v>52</v>
      </c>
      <c r="Q6" s="19" t="s">
        <v>58</v>
      </c>
      <c r="R6" s="19" t="s">
        <v>52</v>
      </c>
      <c r="T6" s="18">
        <f t="shared" si="1"/>
        <v>17</v>
      </c>
      <c r="U6" s="18" t="str">
        <f t="shared" si="2"/>
        <v/>
      </c>
      <c r="V6" s="18" t="str">
        <f t="shared" si="3"/>
        <v/>
      </c>
      <c r="W6" s="18" t="str">
        <f t="shared" si="4"/>
        <v/>
      </c>
      <c r="X6" s="18">
        <f t="shared" si="5"/>
        <v>17</v>
      </c>
      <c r="Y6" s="18" t="str">
        <f t="shared" si="6"/>
        <v/>
      </c>
      <c r="Z6" s="18">
        <f t="shared" si="7"/>
        <v>17</v>
      </c>
      <c r="AA6" s="18" t="str">
        <f t="shared" si="8"/>
        <v/>
      </c>
      <c r="AB6" s="18" t="str">
        <f t="shared" si="9"/>
        <v/>
      </c>
      <c r="AC6" s="18" t="str">
        <f t="shared" si="10"/>
        <v/>
      </c>
      <c r="AD6" s="18">
        <f t="shared" si="11"/>
        <v>17</v>
      </c>
      <c r="AE6" s="18">
        <f t="shared" si="12"/>
        <v>1</v>
      </c>
    </row>
    <row r="7">
      <c r="A7" s="19" t="s">
        <v>49</v>
      </c>
      <c r="B7" s="19" t="s">
        <v>37</v>
      </c>
      <c r="C7" s="19" t="s">
        <v>51</v>
      </c>
      <c r="D7" s="19" t="s">
        <v>54</v>
      </c>
      <c r="E7" s="20">
        <v>46258.0</v>
      </c>
      <c r="F7" s="19">
        <v>6.0</v>
      </c>
      <c r="G7" s="19" t="s">
        <v>92</v>
      </c>
      <c r="H7" s="19" t="s">
        <v>80</v>
      </c>
      <c r="I7" s="19">
        <v>58.0</v>
      </c>
      <c r="J7" s="19" t="s">
        <v>58</v>
      </c>
      <c r="K7" s="19" t="s">
        <v>93</v>
      </c>
      <c r="L7" s="19" t="s">
        <v>65</v>
      </c>
      <c r="M7" s="19" t="s">
        <v>94</v>
      </c>
      <c r="N7" s="19">
        <v>2.0</v>
      </c>
      <c r="O7" s="19" t="s">
        <v>52</v>
      </c>
      <c r="P7" s="19" t="s">
        <v>52</v>
      </c>
      <c r="Q7" s="19" t="s">
        <v>58</v>
      </c>
      <c r="R7" s="19" t="s">
        <v>52</v>
      </c>
      <c r="T7" s="18" t="str">
        <f t="shared" si="1"/>
        <v/>
      </c>
      <c r="U7" s="18">
        <f t="shared" si="2"/>
        <v>58</v>
      </c>
      <c r="V7" s="18" t="str">
        <f t="shared" si="3"/>
        <v/>
      </c>
      <c r="W7" s="18" t="str">
        <f t="shared" si="4"/>
        <v/>
      </c>
      <c r="X7" s="18">
        <f t="shared" si="5"/>
        <v>58</v>
      </c>
      <c r="Y7" s="18" t="str">
        <f t="shared" si="6"/>
        <v/>
      </c>
      <c r="Z7" s="18">
        <f t="shared" si="7"/>
        <v>58</v>
      </c>
      <c r="AA7" s="18" t="str">
        <f t="shared" si="8"/>
        <v/>
      </c>
      <c r="AB7" s="18" t="str">
        <f t="shared" si="9"/>
        <v/>
      </c>
      <c r="AC7" s="18" t="str">
        <f t="shared" si="10"/>
        <v/>
      </c>
      <c r="AD7" s="18">
        <f t="shared" si="11"/>
        <v>58</v>
      </c>
      <c r="AE7" s="18">
        <f t="shared" si="12"/>
        <v>2</v>
      </c>
    </row>
    <row r="8">
      <c r="A8" s="19" t="s">
        <v>49</v>
      </c>
      <c r="B8" s="19" t="s">
        <v>37</v>
      </c>
      <c r="C8" s="19" t="s">
        <v>51</v>
      </c>
      <c r="D8" s="19" t="s">
        <v>54</v>
      </c>
      <c r="E8" s="20">
        <v>46258.0</v>
      </c>
      <c r="F8" s="19">
        <v>7.0</v>
      </c>
      <c r="G8" s="19" t="s">
        <v>95</v>
      </c>
      <c r="H8" s="19" t="s">
        <v>83</v>
      </c>
      <c r="I8" s="19">
        <v>108.0</v>
      </c>
      <c r="J8" s="19" t="s">
        <v>58</v>
      </c>
      <c r="K8" s="19" t="s">
        <v>96</v>
      </c>
      <c r="L8" s="19" t="s">
        <v>97</v>
      </c>
      <c r="M8" s="19" t="s">
        <v>94</v>
      </c>
      <c r="N8" s="19">
        <v>5.0</v>
      </c>
      <c r="O8" s="19" t="s">
        <v>52</v>
      </c>
      <c r="P8" s="19" t="s">
        <v>52</v>
      </c>
      <c r="Q8" s="19" t="s">
        <v>58</v>
      </c>
      <c r="R8" s="19" t="s">
        <v>52</v>
      </c>
      <c r="T8" s="18" t="str">
        <f t="shared" si="1"/>
        <v/>
      </c>
      <c r="U8" s="18" t="str">
        <f t="shared" si="2"/>
        <v/>
      </c>
      <c r="V8" s="18">
        <f t="shared" si="3"/>
        <v>108</v>
      </c>
      <c r="W8" s="18" t="str">
        <f t="shared" si="4"/>
        <v/>
      </c>
      <c r="X8" s="18">
        <f t="shared" si="5"/>
        <v>108</v>
      </c>
      <c r="Y8" s="18" t="str">
        <f t="shared" si="6"/>
        <v/>
      </c>
      <c r="Z8" s="18">
        <f t="shared" si="7"/>
        <v>108</v>
      </c>
      <c r="AA8" s="18" t="str">
        <f t="shared" si="8"/>
        <v/>
      </c>
      <c r="AB8" s="18" t="str">
        <f t="shared" si="9"/>
        <v/>
      </c>
      <c r="AC8" s="18" t="str">
        <f t="shared" si="10"/>
        <v/>
      </c>
      <c r="AD8" s="18">
        <f t="shared" si="11"/>
        <v>108</v>
      </c>
      <c r="AE8" s="18">
        <f t="shared" si="12"/>
        <v>5</v>
      </c>
    </row>
    <row r="9">
      <c r="A9" s="19" t="s">
        <v>49</v>
      </c>
      <c r="B9" s="19" t="s">
        <v>37</v>
      </c>
      <c r="C9" s="19" t="s">
        <v>51</v>
      </c>
      <c r="D9" s="19" t="s">
        <v>54</v>
      </c>
      <c r="E9" s="20">
        <v>46258.0</v>
      </c>
      <c r="F9" s="19">
        <v>8.0</v>
      </c>
      <c r="G9" s="19" t="s">
        <v>98</v>
      </c>
      <c r="H9" s="19" t="s">
        <v>86</v>
      </c>
      <c r="I9" s="19">
        <v>90.0</v>
      </c>
      <c r="J9" s="19" t="s">
        <v>58</v>
      </c>
      <c r="K9" s="19" t="s">
        <v>99</v>
      </c>
      <c r="L9" s="19" t="s">
        <v>100</v>
      </c>
      <c r="M9" s="19" t="s">
        <v>94</v>
      </c>
      <c r="N9" s="19">
        <v>3.0</v>
      </c>
      <c r="O9" s="19" t="s">
        <v>52</v>
      </c>
      <c r="P9" s="19" t="s">
        <v>52</v>
      </c>
      <c r="Q9" s="19" t="s">
        <v>58</v>
      </c>
      <c r="R9" s="19" t="s">
        <v>52</v>
      </c>
      <c r="T9" s="18" t="str">
        <f t="shared" si="1"/>
        <v/>
      </c>
      <c r="U9" s="18" t="str">
        <f t="shared" si="2"/>
        <v/>
      </c>
      <c r="V9" s="18" t="str">
        <f t="shared" si="3"/>
        <v/>
      </c>
      <c r="W9" s="18">
        <f t="shared" si="4"/>
        <v>90</v>
      </c>
      <c r="X9" s="18">
        <f t="shared" si="5"/>
        <v>90</v>
      </c>
      <c r="Y9" s="18" t="str">
        <f t="shared" si="6"/>
        <v/>
      </c>
      <c r="Z9" s="18">
        <f t="shared" si="7"/>
        <v>90</v>
      </c>
      <c r="AA9" s="18" t="str">
        <f t="shared" si="8"/>
        <v/>
      </c>
      <c r="AB9" s="18" t="str">
        <f t="shared" si="9"/>
        <v/>
      </c>
      <c r="AC9" s="18" t="str">
        <f t="shared" si="10"/>
        <v/>
      </c>
      <c r="AD9" s="18">
        <f t="shared" si="11"/>
        <v>90</v>
      </c>
      <c r="AE9" s="18">
        <f t="shared" si="12"/>
        <v>3</v>
      </c>
    </row>
    <row r="10">
      <c r="A10" s="19" t="s">
        <v>102</v>
      </c>
      <c r="B10" s="19" t="s">
        <v>55</v>
      </c>
      <c r="C10" s="19" t="s">
        <v>51</v>
      </c>
      <c r="D10" s="19" t="s">
        <v>54</v>
      </c>
      <c r="E10" s="20">
        <v>46259.0</v>
      </c>
      <c r="F10" s="19">
        <v>1.0</v>
      </c>
      <c r="G10" s="19" t="s">
        <v>89</v>
      </c>
      <c r="H10" s="19" t="s">
        <v>54</v>
      </c>
      <c r="I10" s="19">
        <v>31.0</v>
      </c>
      <c r="J10" s="19" t="s">
        <v>58</v>
      </c>
      <c r="K10" s="19" t="s">
        <v>90</v>
      </c>
      <c r="L10" s="19" t="s">
        <v>91</v>
      </c>
      <c r="M10" s="19" t="s">
        <v>66</v>
      </c>
      <c r="N10" s="19">
        <v>1.0</v>
      </c>
      <c r="O10" s="19" t="s">
        <v>52</v>
      </c>
      <c r="P10" s="19" t="s">
        <v>58</v>
      </c>
      <c r="Q10" s="19" t="s">
        <v>58</v>
      </c>
      <c r="R10" s="19" t="s">
        <v>52</v>
      </c>
      <c r="T10" s="18">
        <f t="shared" si="1"/>
        <v>31</v>
      </c>
      <c r="U10" s="18" t="str">
        <f t="shared" si="2"/>
        <v/>
      </c>
      <c r="V10" s="18" t="str">
        <f t="shared" si="3"/>
        <v/>
      </c>
      <c r="W10" s="18" t="str">
        <f t="shared" si="4"/>
        <v/>
      </c>
      <c r="X10" s="18">
        <f t="shared" si="5"/>
        <v>31</v>
      </c>
      <c r="Y10" s="18" t="str">
        <f t="shared" si="6"/>
        <v/>
      </c>
      <c r="Z10" s="18" t="str">
        <f t="shared" si="7"/>
        <v/>
      </c>
      <c r="AA10" s="18" t="str">
        <f t="shared" si="8"/>
        <v/>
      </c>
      <c r="AB10" s="18">
        <f t="shared" si="9"/>
        <v>31</v>
      </c>
      <c r="AC10" s="18">
        <f t="shared" si="10"/>
        <v>31</v>
      </c>
      <c r="AD10" s="18" t="str">
        <f t="shared" si="11"/>
        <v/>
      </c>
      <c r="AE10" s="18">
        <f t="shared" si="12"/>
        <v>1</v>
      </c>
    </row>
    <row r="11">
      <c r="A11" s="19" t="s">
        <v>102</v>
      </c>
      <c r="B11" s="19" t="s">
        <v>55</v>
      </c>
      <c r="C11" s="19" t="s">
        <v>51</v>
      </c>
      <c r="D11" s="19" t="s">
        <v>54</v>
      </c>
      <c r="E11" s="20">
        <v>46259.0</v>
      </c>
      <c r="F11" s="19">
        <v>2.0</v>
      </c>
      <c r="G11" s="19" t="s">
        <v>92</v>
      </c>
      <c r="H11" s="19" t="s">
        <v>80</v>
      </c>
      <c r="I11" s="19">
        <v>133.0</v>
      </c>
      <c r="J11" s="19" t="s">
        <v>58</v>
      </c>
      <c r="K11" s="19" t="s">
        <v>93</v>
      </c>
      <c r="L11" s="19" t="s">
        <v>112</v>
      </c>
      <c r="M11" s="19" t="s">
        <v>66</v>
      </c>
      <c r="N11" s="19">
        <v>2.0</v>
      </c>
      <c r="O11" s="19" t="s">
        <v>58</v>
      </c>
      <c r="P11" s="19" t="s">
        <v>58</v>
      </c>
      <c r="Q11" s="19" t="s">
        <v>58</v>
      </c>
      <c r="R11" s="19" t="s">
        <v>52</v>
      </c>
      <c r="T11" s="18" t="str">
        <f t="shared" si="1"/>
        <v/>
      </c>
      <c r="U11" s="18">
        <f t="shared" si="2"/>
        <v>133</v>
      </c>
      <c r="V11" s="18" t="str">
        <f t="shared" si="3"/>
        <v/>
      </c>
      <c r="W11" s="18" t="str">
        <f t="shared" si="4"/>
        <v/>
      </c>
      <c r="X11" s="18">
        <f t="shared" si="5"/>
        <v>133</v>
      </c>
      <c r="Y11" s="18" t="str">
        <f t="shared" si="6"/>
        <v/>
      </c>
      <c r="Z11" s="18" t="str">
        <f t="shared" si="7"/>
        <v/>
      </c>
      <c r="AA11" s="18" t="str">
        <f t="shared" si="8"/>
        <v/>
      </c>
      <c r="AB11" s="18">
        <f t="shared" si="9"/>
        <v>133</v>
      </c>
      <c r="AC11" s="18">
        <f t="shared" si="10"/>
        <v>133</v>
      </c>
      <c r="AD11" s="18" t="str">
        <f t="shared" si="11"/>
        <v/>
      </c>
      <c r="AE11" s="18">
        <f t="shared" si="12"/>
        <v>2</v>
      </c>
    </row>
    <row r="12">
      <c r="A12" s="19" t="s">
        <v>102</v>
      </c>
      <c r="B12" s="19" t="s">
        <v>55</v>
      </c>
      <c r="C12" s="19" t="s">
        <v>51</v>
      </c>
      <c r="D12" s="19" t="s">
        <v>54</v>
      </c>
      <c r="E12" s="20">
        <v>46259.0</v>
      </c>
      <c r="F12" s="19">
        <v>3.0</v>
      </c>
      <c r="G12" s="19" t="s">
        <v>95</v>
      </c>
      <c r="H12" s="19" t="s">
        <v>83</v>
      </c>
      <c r="I12" s="19">
        <v>177.0</v>
      </c>
      <c r="J12" s="19" t="s">
        <v>58</v>
      </c>
      <c r="K12" s="19" t="s">
        <v>96</v>
      </c>
      <c r="L12" s="19" t="s">
        <v>97</v>
      </c>
      <c r="M12" s="19" t="s">
        <v>94</v>
      </c>
      <c r="N12" s="19">
        <v>6.0</v>
      </c>
      <c r="O12" s="19" t="s">
        <v>58</v>
      </c>
      <c r="P12" s="19" t="s">
        <v>58</v>
      </c>
      <c r="Q12" s="19" t="s">
        <v>58</v>
      </c>
      <c r="R12" s="19" t="s">
        <v>52</v>
      </c>
      <c r="T12" s="18" t="str">
        <f t="shared" si="1"/>
        <v/>
      </c>
      <c r="U12" s="18" t="str">
        <f t="shared" si="2"/>
        <v/>
      </c>
      <c r="V12" s="18">
        <f t="shared" si="3"/>
        <v>177</v>
      </c>
      <c r="W12" s="18" t="str">
        <f t="shared" si="4"/>
        <v/>
      </c>
      <c r="X12" s="18">
        <f t="shared" si="5"/>
        <v>177</v>
      </c>
      <c r="Y12" s="18" t="str">
        <f t="shared" si="6"/>
        <v/>
      </c>
      <c r="Z12" s="18" t="str">
        <f t="shared" si="7"/>
        <v/>
      </c>
      <c r="AA12" s="18" t="str">
        <f t="shared" si="8"/>
        <v/>
      </c>
      <c r="AB12" s="18">
        <f t="shared" si="9"/>
        <v>177</v>
      </c>
      <c r="AC12" s="18">
        <f t="shared" si="10"/>
        <v>177</v>
      </c>
      <c r="AD12" s="18" t="str">
        <f t="shared" si="11"/>
        <v/>
      </c>
      <c r="AE12" s="18">
        <f t="shared" si="12"/>
        <v>6</v>
      </c>
    </row>
    <row r="13">
      <c r="A13" s="19" t="s">
        <v>102</v>
      </c>
      <c r="B13" s="19" t="s">
        <v>55</v>
      </c>
      <c r="C13" s="19" t="s">
        <v>51</v>
      </c>
      <c r="D13" s="19" t="s">
        <v>54</v>
      </c>
      <c r="E13" s="20">
        <v>46259.0</v>
      </c>
      <c r="F13" s="19">
        <v>4.0</v>
      </c>
      <c r="G13" s="19" t="s">
        <v>98</v>
      </c>
      <c r="H13" s="19" t="s">
        <v>86</v>
      </c>
      <c r="I13" s="19">
        <v>300.0</v>
      </c>
      <c r="J13" s="19" t="s">
        <v>52</v>
      </c>
      <c r="K13" s="19" t="s">
        <v>87</v>
      </c>
      <c r="L13" s="19" t="s">
        <v>87</v>
      </c>
      <c r="M13" s="19" t="s">
        <v>88</v>
      </c>
      <c r="N13" s="19">
        <v>4.0</v>
      </c>
      <c r="O13" s="19" t="s">
        <v>58</v>
      </c>
      <c r="P13" s="19" t="s">
        <v>58</v>
      </c>
      <c r="Q13" s="19" t="s">
        <v>58</v>
      </c>
      <c r="R13" s="19" t="s">
        <v>52</v>
      </c>
      <c r="T13" s="18" t="str">
        <f t="shared" si="1"/>
        <v/>
      </c>
      <c r="U13" s="18" t="str">
        <f t="shared" si="2"/>
        <v/>
      </c>
      <c r="V13" s="18" t="str">
        <f t="shared" si="3"/>
        <v/>
      </c>
      <c r="W13" s="18">
        <f t="shared" si="4"/>
        <v>300</v>
      </c>
      <c r="X13" s="18">
        <f t="shared" si="5"/>
        <v>300</v>
      </c>
      <c r="Y13" s="18" t="str">
        <f t="shared" si="6"/>
        <v/>
      </c>
      <c r="Z13" s="18" t="str">
        <f t="shared" si="7"/>
        <v/>
      </c>
      <c r="AA13" s="18" t="str">
        <f t="shared" si="8"/>
        <v/>
      </c>
      <c r="AB13" s="18">
        <f t="shared" si="9"/>
        <v>300</v>
      </c>
      <c r="AC13" s="18">
        <f t="shared" si="10"/>
        <v>300</v>
      </c>
      <c r="AD13" s="18" t="str">
        <f t="shared" si="11"/>
        <v/>
      </c>
      <c r="AE13" s="18">
        <f t="shared" si="12"/>
        <v>4</v>
      </c>
    </row>
    <row r="14">
      <c r="A14" s="19" t="s">
        <v>102</v>
      </c>
      <c r="B14" s="19" t="s">
        <v>55</v>
      </c>
      <c r="C14" s="19" t="s">
        <v>51</v>
      </c>
      <c r="D14" s="19" t="s">
        <v>54</v>
      </c>
      <c r="E14" s="20">
        <v>46259.0</v>
      </c>
      <c r="F14" s="19">
        <v>5.0</v>
      </c>
      <c r="G14" s="19" t="s">
        <v>59</v>
      </c>
      <c r="H14" s="19" t="s">
        <v>54</v>
      </c>
      <c r="I14" s="19">
        <v>20.0</v>
      </c>
      <c r="J14" s="19" t="s">
        <v>58</v>
      </c>
      <c r="K14" s="19" t="s">
        <v>64</v>
      </c>
      <c r="L14" s="19" t="s">
        <v>65</v>
      </c>
      <c r="M14" s="19" t="s">
        <v>66</v>
      </c>
      <c r="N14" s="19">
        <v>1.0</v>
      </c>
      <c r="O14" s="19" t="s">
        <v>52</v>
      </c>
      <c r="P14" s="19" t="s">
        <v>58</v>
      </c>
      <c r="Q14" s="19" t="s">
        <v>58</v>
      </c>
      <c r="R14" s="19" t="s">
        <v>52</v>
      </c>
      <c r="T14" s="18">
        <f t="shared" si="1"/>
        <v>20</v>
      </c>
      <c r="U14" s="18" t="str">
        <f t="shared" si="2"/>
        <v/>
      </c>
      <c r="V14" s="18" t="str">
        <f t="shared" si="3"/>
        <v/>
      </c>
      <c r="W14" s="18" t="str">
        <f t="shared" si="4"/>
        <v/>
      </c>
      <c r="X14" s="18">
        <f t="shared" si="5"/>
        <v>20</v>
      </c>
      <c r="Y14" s="18" t="str">
        <f t="shared" si="6"/>
        <v/>
      </c>
      <c r="Z14" s="18" t="str">
        <f t="shared" si="7"/>
        <v/>
      </c>
      <c r="AA14" s="18" t="str">
        <f t="shared" si="8"/>
        <v/>
      </c>
      <c r="AB14" s="18">
        <f t="shared" si="9"/>
        <v>20</v>
      </c>
      <c r="AC14" s="18" t="str">
        <f t="shared" si="10"/>
        <v/>
      </c>
      <c r="AD14" s="18">
        <f t="shared" si="11"/>
        <v>20</v>
      </c>
      <c r="AE14" s="18">
        <f t="shared" si="12"/>
        <v>1</v>
      </c>
    </row>
    <row r="15">
      <c r="A15" s="19" t="s">
        <v>102</v>
      </c>
      <c r="B15" s="19" t="s">
        <v>55</v>
      </c>
      <c r="C15" s="19" t="s">
        <v>51</v>
      </c>
      <c r="D15" s="19" t="s">
        <v>54</v>
      </c>
      <c r="E15" s="20">
        <v>46259.0</v>
      </c>
      <c r="F15" s="19">
        <v>6.0</v>
      </c>
      <c r="G15" s="19" t="s">
        <v>79</v>
      </c>
      <c r="H15" s="19" t="s">
        <v>80</v>
      </c>
      <c r="I15" s="19">
        <v>106.0</v>
      </c>
      <c r="J15" s="19" t="s">
        <v>58</v>
      </c>
      <c r="K15" s="19" t="s">
        <v>81</v>
      </c>
      <c r="L15" s="19" t="s">
        <v>65</v>
      </c>
      <c r="M15" s="19" t="s">
        <v>66</v>
      </c>
      <c r="N15" s="19">
        <v>4.0</v>
      </c>
      <c r="O15" s="19" t="s">
        <v>58</v>
      </c>
      <c r="P15" s="19" t="s">
        <v>58</v>
      </c>
      <c r="Q15" s="19" t="s">
        <v>58</v>
      </c>
      <c r="R15" s="19" t="s">
        <v>52</v>
      </c>
      <c r="T15" s="18" t="str">
        <f t="shared" si="1"/>
        <v/>
      </c>
      <c r="U15" s="18">
        <f t="shared" si="2"/>
        <v>106</v>
      </c>
      <c r="V15" s="18" t="str">
        <f t="shared" si="3"/>
        <v/>
      </c>
      <c r="W15" s="18" t="str">
        <f t="shared" si="4"/>
        <v/>
      </c>
      <c r="X15" s="18">
        <f t="shared" si="5"/>
        <v>106</v>
      </c>
      <c r="Y15" s="18" t="str">
        <f t="shared" si="6"/>
        <v/>
      </c>
      <c r="Z15" s="18" t="str">
        <f t="shared" si="7"/>
        <v/>
      </c>
      <c r="AA15" s="18" t="str">
        <f t="shared" si="8"/>
        <v/>
      </c>
      <c r="AB15" s="18">
        <f t="shared" si="9"/>
        <v>106</v>
      </c>
      <c r="AC15" s="18" t="str">
        <f t="shared" si="10"/>
        <v/>
      </c>
      <c r="AD15" s="18">
        <f t="shared" si="11"/>
        <v>106</v>
      </c>
      <c r="AE15" s="18">
        <f t="shared" si="12"/>
        <v>4</v>
      </c>
    </row>
    <row r="16">
      <c r="A16" s="19" t="s">
        <v>102</v>
      </c>
      <c r="B16" s="19" t="s">
        <v>55</v>
      </c>
      <c r="C16" s="19" t="s">
        <v>51</v>
      </c>
      <c r="D16" s="19" t="s">
        <v>54</v>
      </c>
      <c r="E16" s="20">
        <v>46259.0</v>
      </c>
      <c r="F16" s="19">
        <v>7.0</v>
      </c>
      <c r="G16" s="19" t="s">
        <v>82</v>
      </c>
      <c r="H16" s="19" t="s">
        <v>83</v>
      </c>
      <c r="I16" s="19">
        <v>104.0</v>
      </c>
      <c r="J16" s="19" t="s">
        <v>58</v>
      </c>
      <c r="K16" s="19" t="s">
        <v>115</v>
      </c>
      <c r="L16" s="19" t="s">
        <v>116</v>
      </c>
      <c r="M16" s="19" t="s">
        <v>94</v>
      </c>
      <c r="N16" s="19">
        <v>4.0</v>
      </c>
      <c r="O16" s="19" t="s">
        <v>58</v>
      </c>
      <c r="P16" s="19" t="s">
        <v>58</v>
      </c>
      <c r="Q16" s="19" t="s">
        <v>58</v>
      </c>
      <c r="R16" s="19" t="s">
        <v>52</v>
      </c>
      <c r="T16" s="18" t="str">
        <f t="shared" si="1"/>
        <v/>
      </c>
      <c r="U16" s="18" t="str">
        <f t="shared" si="2"/>
        <v/>
      </c>
      <c r="V16" s="18">
        <f t="shared" si="3"/>
        <v>104</v>
      </c>
      <c r="W16" s="18" t="str">
        <f t="shared" si="4"/>
        <v/>
      </c>
      <c r="X16" s="18">
        <f t="shared" si="5"/>
        <v>104</v>
      </c>
      <c r="Y16" s="18" t="str">
        <f t="shared" si="6"/>
        <v/>
      </c>
      <c r="Z16" s="18" t="str">
        <f t="shared" si="7"/>
        <v/>
      </c>
      <c r="AA16" s="18" t="str">
        <f t="shared" si="8"/>
        <v/>
      </c>
      <c r="AB16" s="18">
        <f t="shared" si="9"/>
        <v>104</v>
      </c>
      <c r="AC16" s="18" t="str">
        <f t="shared" si="10"/>
        <v/>
      </c>
      <c r="AD16" s="18">
        <f t="shared" si="11"/>
        <v>104</v>
      </c>
      <c r="AE16" s="18">
        <f t="shared" si="12"/>
        <v>4</v>
      </c>
    </row>
    <row r="17">
      <c r="A17" s="19" t="s">
        <v>102</v>
      </c>
      <c r="B17" s="19" t="s">
        <v>55</v>
      </c>
      <c r="C17" s="19" t="s">
        <v>51</v>
      </c>
      <c r="D17" s="19" t="s">
        <v>54</v>
      </c>
      <c r="E17" s="20">
        <v>46259.0</v>
      </c>
      <c r="F17" s="19">
        <v>8.0</v>
      </c>
      <c r="G17" s="19" t="s">
        <v>85</v>
      </c>
      <c r="H17" s="19" t="s">
        <v>86</v>
      </c>
      <c r="I17" s="19">
        <v>300.0</v>
      </c>
      <c r="J17" s="19" t="s">
        <v>52</v>
      </c>
      <c r="K17" s="19" t="s">
        <v>87</v>
      </c>
      <c r="L17" s="19" t="s">
        <v>87</v>
      </c>
      <c r="M17" s="19" t="s">
        <v>88</v>
      </c>
      <c r="N17" s="19">
        <v>5.0</v>
      </c>
      <c r="O17" s="19" t="s">
        <v>58</v>
      </c>
      <c r="P17" s="19" t="s">
        <v>58</v>
      </c>
      <c r="Q17" s="19" t="s">
        <v>52</v>
      </c>
      <c r="R17" s="19" t="s">
        <v>52</v>
      </c>
      <c r="T17" s="18" t="str">
        <f t="shared" si="1"/>
        <v/>
      </c>
      <c r="U17" s="18" t="str">
        <f t="shared" si="2"/>
        <v/>
      </c>
      <c r="V17" s="18" t="str">
        <f t="shared" si="3"/>
        <v/>
      </c>
      <c r="W17" s="18">
        <f t="shared" si="4"/>
        <v>300</v>
      </c>
      <c r="X17" s="18">
        <f t="shared" si="5"/>
        <v>300</v>
      </c>
      <c r="Y17" s="18" t="str">
        <f t="shared" si="6"/>
        <v/>
      </c>
      <c r="Z17" s="18" t="str">
        <f t="shared" si="7"/>
        <v/>
      </c>
      <c r="AA17" s="18" t="str">
        <f t="shared" si="8"/>
        <v/>
      </c>
      <c r="AB17" s="18">
        <f t="shared" si="9"/>
        <v>300</v>
      </c>
      <c r="AC17" s="18" t="str">
        <f t="shared" si="10"/>
        <v/>
      </c>
      <c r="AD17" s="18">
        <f t="shared" si="11"/>
        <v>300</v>
      </c>
      <c r="AE17" s="18">
        <f t="shared" si="12"/>
        <v>5</v>
      </c>
    </row>
    <row r="18">
      <c r="A18" s="19" t="s">
        <v>118</v>
      </c>
      <c r="B18" s="19" t="s">
        <v>60</v>
      </c>
      <c r="C18" s="19" t="s">
        <v>51</v>
      </c>
      <c r="D18" s="19" t="s">
        <v>54</v>
      </c>
      <c r="E18" s="20">
        <v>46260.0</v>
      </c>
      <c r="F18" s="19">
        <v>1.0</v>
      </c>
      <c r="G18" s="19" t="s">
        <v>82</v>
      </c>
      <c r="H18" s="19" t="s">
        <v>83</v>
      </c>
      <c r="I18" s="19">
        <v>177.0</v>
      </c>
      <c r="J18" s="19" t="s">
        <v>58</v>
      </c>
      <c r="K18" s="19" t="s">
        <v>84</v>
      </c>
      <c r="L18" s="19" t="s">
        <v>65</v>
      </c>
      <c r="M18" s="19" t="s">
        <v>66</v>
      </c>
      <c r="N18" s="19">
        <v>5.0</v>
      </c>
      <c r="O18" s="19" t="s">
        <v>52</v>
      </c>
      <c r="P18" s="19" t="s">
        <v>58</v>
      </c>
      <c r="Q18" s="19" t="s">
        <v>58</v>
      </c>
      <c r="R18" s="19" t="s">
        <v>52</v>
      </c>
      <c r="T18" s="18" t="str">
        <f t="shared" si="1"/>
        <v/>
      </c>
      <c r="U18" s="18" t="str">
        <f t="shared" si="2"/>
        <v/>
      </c>
      <c r="V18" s="18">
        <f t="shared" si="3"/>
        <v>177</v>
      </c>
      <c r="W18" s="18" t="str">
        <f t="shared" si="4"/>
        <v/>
      </c>
      <c r="X18" s="18">
        <f t="shared" si="5"/>
        <v>177</v>
      </c>
      <c r="Y18" s="18" t="str">
        <f t="shared" si="6"/>
        <v/>
      </c>
      <c r="Z18" s="18" t="str">
        <f t="shared" si="7"/>
        <v/>
      </c>
      <c r="AA18" s="18" t="str">
        <f t="shared" si="8"/>
        <v/>
      </c>
      <c r="AB18" s="18">
        <f t="shared" si="9"/>
        <v>177</v>
      </c>
      <c r="AC18" s="18">
        <f t="shared" si="10"/>
        <v>177</v>
      </c>
      <c r="AD18" s="18" t="str">
        <f t="shared" si="11"/>
        <v/>
      </c>
      <c r="AE18" s="18">
        <f t="shared" si="12"/>
        <v>5</v>
      </c>
    </row>
    <row r="19">
      <c r="A19" s="19" t="s">
        <v>118</v>
      </c>
      <c r="B19" s="19" t="s">
        <v>60</v>
      </c>
      <c r="C19" s="19" t="s">
        <v>51</v>
      </c>
      <c r="D19" s="19" t="s">
        <v>54</v>
      </c>
      <c r="E19" s="20">
        <v>46260.0</v>
      </c>
      <c r="F19" s="19">
        <v>2.0</v>
      </c>
      <c r="G19" s="19" t="s">
        <v>59</v>
      </c>
      <c r="H19" s="19" t="s">
        <v>54</v>
      </c>
      <c r="I19" s="19">
        <v>30.0</v>
      </c>
      <c r="J19" s="19" t="s">
        <v>58</v>
      </c>
      <c r="K19" s="19" t="s">
        <v>64</v>
      </c>
      <c r="L19" s="19" t="s">
        <v>65</v>
      </c>
      <c r="M19" s="19" t="s">
        <v>66</v>
      </c>
      <c r="N19" s="19">
        <v>1.0</v>
      </c>
      <c r="O19" s="19" t="s">
        <v>58</v>
      </c>
      <c r="P19" s="19" t="s">
        <v>58</v>
      </c>
      <c r="Q19" s="19" t="s">
        <v>58</v>
      </c>
      <c r="R19" s="19" t="s">
        <v>52</v>
      </c>
      <c r="T19" s="18">
        <f t="shared" si="1"/>
        <v>30</v>
      </c>
      <c r="U19" s="18" t="str">
        <f t="shared" si="2"/>
        <v/>
      </c>
      <c r="V19" s="18" t="str">
        <f t="shared" si="3"/>
        <v/>
      </c>
      <c r="W19" s="18" t="str">
        <f t="shared" si="4"/>
        <v/>
      </c>
      <c r="X19" s="18">
        <f t="shared" si="5"/>
        <v>30</v>
      </c>
      <c r="Y19" s="18" t="str">
        <f t="shared" si="6"/>
        <v/>
      </c>
      <c r="Z19" s="18" t="str">
        <f t="shared" si="7"/>
        <v/>
      </c>
      <c r="AA19" s="18" t="str">
        <f t="shared" si="8"/>
        <v/>
      </c>
      <c r="AB19" s="18">
        <f t="shared" si="9"/>
        <v>30</v>
      </c>
      <c r="AC19" s="18">
        <f t="shared" si="10"/>
        <v>30</v>
      </c>
      <c r="AD19" s="18" t="str">
        <f t="shared" si="11"/>
        <v/>
      </c>
      <c r="AE19" s="18">
        <f t="shared" si="12"/>
        <v>1</v>
      </c>
    </row>
    <row r="20">
      <c r="A20" s="19" t="s">
        <v>118</v>
      </c>
      <c r="B20" s="19" t="s">
        <v>60</v>
      </c>
      <c r="C20" s="19" t="s">
        <v>51</v>
      </c>
      <c r="D20" s="19" t="s">
        <v>54</v>
      </c>
      <c r="E20" s="20">
        <v>46260.0</v>
      </c>
      <c r="F20" s="19">
        <v>3.0</v>
      </c>
      <c r="G20" s="19" t="s">
        <v>85</v>
      </c>
      <c r="H20" s="19" t="s">
        <v>86</v>
      </c>
      <c r="I20" s="19">
        <v>300.0</v>
      </c>
      <c r="J20" s="19" t="s">
        <v>52</v>
      </c>
      <c r="K20" s="19" t="s">
        <v>87</v>
      </c>
      <c r="L20" s="19" t="s">
        <v>87</v>
      </c>
      <c r="M20" s="19" t="s">
        <v>88</v>
      </c>
      <c r="N20" s="19">
        <v>4.0</v>
      </c>
      <c r="O20" s="19" t="s">
        <v>52</v>
      </c>
      <c r="P20" s="19" t="s">
        <v>58</v>
      </c>
      <c r="Q20" s="19" t="s">
        <v>58</v>
      </c>
      <c r="R20" s="19" t="s">
        <v>52</v>
      </c>
      <c r="T20" s="18" t="str">
        <f t="shared" si="1"/>
        <v/>
      </c>
      <c r="U20" s="18" t="str">
        <f t="shared" si="2"/>
        <v/>
      </c>
      <c r="V20" s="18" t="str">
        <f t="shared" si="3"/>
        <v/>
      </c>
      <c r="W20" s="18">
        <f t="shared" si="4"/>
        <v>300</v>
      </c>
      <c r="X20" s="18">
        <f t="shared" si="5"/>
        <v>300</v>
      </c>
      <c r="Y20" s="18" t="str">
        <f t="shared" si="6"/>
        <v/>
      </c>
      <c r="Z20" s="18" t="str">
        <f t="shared" si="7"/>
        <v/>
      </c>
      <c r="AA20" s="18" t="str">
        <f t="shared" si="8"/>
        <v/>
      </c>
      <c r="AB20" s="18">
        <f t="shared" si="9"/>
        <v>300</v>
      </c>
      <c r="AC20" s="18">
        <f t="shared" si="10"/>
        <v>300</v>
      </c>
      <c r="AD20" s="18" t="str">
        <f t="shared" si="11"/>
        <v/>
      </c>
      <c r="AE20" s="18">
        <f t="shared" si="12"/>
        <v>4</v>
      </c>
    </row>
    <row r="21" ht="15.75" customHeight="1">
      <c r="A21" s="19" t="s">
        <v>118</v>
      </c>
      <c r="B21" s="19" t="s">
        <v>60</v>
      </c>
      <c r="C21" s="19" t="s">
        <v>51</v>
      </c>
      <c r="D21" s="19" t="s">
        <v>54</v>
      </c>
      <c r="E21" s="20">
        <v>46260.0</v>
      </c>
      <c r="F21" s="19">
        <v>4.0</v>
      </c>
      <c r="G21" s="19" t="s">
        <v>79</v>
      </c>
      <c r="H21" s="19" t="s">
        <v>80</v>
      </c>
      <c r="I21" s="19">
        <v>102.0</v>
      </c>
      <c r="J21" s="19" t="s">
        <v>58</v>
      </c>
      <c r="K21" s="19" t="s">
        <v>121</v>
      </c>
      <c r="L21" s="19" t="s">
        <v>122</v>
      </c>
      <c r="M21" s="19" t="s">
        <v>94</v>
      </c>
      <c r="N21" s="19">
        <v>2.0</v>
      </c>
      <c r="O21" s="19" t="s">
        <v>58</v>
      </c>
      <c r="P21" s="19" t="s">
        <v>58</v>
      </c>
      <c r="Q21" s="19" t="s">
        <v>58</v>
      </c>
      <c r="R21" s="19" t="s">
        <v>52</v>
      </c>
      <c r="T21" s="18" t="str">
        <f t="shared" si="1"/>
        <v/>
      </c>
      <c r="U21" s="18">
        <f t="shared" si="2"/>
        <v>102</v>
      </c>
      <c r="V21" s="18" t="str">
        <f t="shared" si="3"/>
        <v/>
      </c>
      <c r="W21" s="18" t="str">
        <f t="shared" si="4"/>
        <v/>
      </c>
      <c r="X21" s="18">
        <f t="shared" si="5"/>
        <v>102</v>
      </c>
      <c r="Y21" s="18" t="str">
        <f t="shared" si="6"/>
        <v/>
      </c>
      <c r="Z21" s="18" t="str">
        <f t="shared" si="7"/>
        <v/>
      </c>
      <c r="AA21" s="18" t="str">
        <f t="shared" si="8"/>
        <v/>
      </c>
      <c r="AB21" s="18">
        <f t="shared" si="9"/>
        <v>102</v>
      </c>
      <c r="AC21" s="18">
        <f t="shared" si="10"/>
        <v>102</v>
      </c>
      <c r="AD21" s="18" t="str">
        <f t="shared" si="11"/>
        <v/>
      </c>
      <c r="AE21" s="18">
        <f t="shared" si="12"/>
        <v>2</v>
      </c>
    </row>
    <row r="22" ht="15.75" customHeight="1">
      <c r="A22" s="19" t="s">
        <v>118</v>
      </c>
      <c r="B22" s="19" t="s">
        <v>60</v>
      </c>
      <c r="C22" s="19" t="s">
        <v>51</v>
      </c>
      <c r="D22" s="19" t="s">
        <v>54</v>
      </c>
      <c r="E22" s="20">
        <v>46260.0</v>
      </c>
      <c r="F22" s="19">
        <v>5.0</v>
      </c>
      <c r="G22" s="19" t="s">
        <v>95</v>
      </c>
      <c r="H22" s="19" t="s">
        <v>83</v>
      </c>
      <c r="I22" s="19">
        <v>300.0</v>
      </c>
      <c r="J22" s="19" t="s">
        <v>52</v>
      </c>
      <c r="K22" s="19" t="s">
        <v>87</v>
      </c>
      <c r="L22" s="19" t="s">
        <v>87</v>
      </c>
      <c r="M22" s="19" t="s">
        <v>88</v>
      </c>
      <c r="N22" s="19">
        <v>4.0</v>
      </c>
      <c r="O22" s="19" t="s">
        <v>52</v>
      </c>
      <c r="P22" s="19" t="s">
        <v>58</v>
      </c>
      <c r="Q22" s="19" t="s">
        <v>52</v>
      </c>
      <c r="R22" s="19" t="s">
        <v>52</v>
      </c>
      <c r="T22" s="18" t="str">
        <f t="shared" si="1"/>
        <v/>
      </c>
      <c r="U22" s="18" t="str">
        <f t="shared" si="2"/>
        <v/>
      </c>
      <c r="V22" s="18">
        <f t="shared" si="3"/>
        <v>300</v>
      </c>
      <c r="W22" s="18" t="str">
        <f t="shared" si="4"/>
        <v/>
      </c>
      <c r="X22" s="18">
        <f t="shared" si="5"/>
        <v>300</v>
      </c>
      <c r="Y22" s="18" t="str">
        <f t="shared" si="6"/>
        <v/>
      </c>
      <c r="Z22" s="18" t="str">
        <f t="shared" si="7"/>
        <v/>
      </c>
      <c r="AA22" s="18" t="str">
        <f t="shared" si="8"/>
        <v/>
      </c>
      <c r="AB22" s="18">
        <f t="shared" si="9"/>
        <v>300</v>
      </c>
      <c r="AC22" s="18" t="str">
        <f t="shared" si="10"/>
        <v/>
      </c>
      <c r="AD22" s="18">
        <f t="shared" si="11"/>
        <v>300</v>
      </c>
      <c r="AE22" s="18">
        <f t="shared" si="12"/>
        <v>4</v>
      </c>
    </row>
    <row r="23" ht="15.75" customHeight="1">
      <c r="A23" s="19" t="s">
        <v>118</v>
      </c>
      <c r="B23" s="19" t="s">
        <v>60</v>
      </c>
      <c r="C23" s="19" t="s">
        <v>51</v>
      </c>
      <c r="D23" s="19" t="s">
        <v>54</v>
      </c>
      <c r="E23" s="20">
        <v>46260.0</v>
      </c>
      <c r="F23" s="19">
        <v>6.0</v>
      </c>
      <c r="G23" s="19" t="s">
        <v>89</v>
      </c>
      <c r="H23" s="19" t="s">
        <v>54</v>
      </c>
      <c r="I23" s="19">
        <v>38.0</v>
      </c>
      <c r="J23" s="19" t="s">
        <v>58</v>
      </c>
      <c r="K23" s="19" t="s">
        <v>123</v>
      </c>
      <c r="L23" s="19" t="s">
        <v>124</v>
      </c>
      <c r="M23" s="19" t="s">
        <v>94</v>
      </c>
      <c r="N23" s="19">
        <v>1.0</v>
      </c>
      <c r="O23" s="19" t="s">
        <v>58</v>
      </c>
      <c r="P23" s="19" t="s">
        <v>58</v>
      </c>
      <c r="Q23" s="19" t="s">
        <v>58</v>
      </c>
      <c r="R23" s="19" t="s">
        <v>52</v>
      </c>
      <c r="T23" s="18">
        <f t="shared" si="1"/>
        <v>38</v>
      </c>
      <c r="U23" s="18" t="str">
        <f t="shared" si="2"/>
        <v/>
      </c>
      <c r="V23" s="18" t="str">
        <f t="shared" si="3"/>
        <v/>
      </c>
      <c r="W23" s="18" t="str">
        <f t="shared" si="4"/>
        <v/>
      </c>
      <c r="X23" s="18">
        <f t="shared" si="5"/>
        <v>38</v>
      </c>
      <c r="Y23" s="18" t="str">
        <f t="shared" si="6"/>
        <v/>
      </c>
      <c r="Z23" s="18" t="str">
        <f t="shared" si="7"/>
        <v/>
      </c>
      <c r="AA23" s="18" t="str">
        <f t="shared" si="8"/>
        <v/>
      </c>
      <c r="AB23" s="18">
        <f t="shared" si="9"/>
        <v>38</v>
      </c>
      <c r="AC23" s="18" t="str">
        <f t="shared" si="10"/>
        <v/>
      </c>
      <c r="AD23" s="18">
        <f t="shared" si="11"/>
        <v>38</v>
      </c>
      <c r="AE23" s="18">
        <f t="shared" si="12"/>
        <v>1</v>
      </c>
    </row>
    <row r="24" ht="15.75" customHeight="1">
      <c r="A24" s="19" t="s">
        <v>118</v>
      </c>
      <c r="B24" s="19" t="s">
        <v>60</v>
      </c>
      <c r="C24" s="19" t="s">
        <v>51</v>
      </c>
      <c r="D24" s="19" t="s">
        <v>54</v>
      </c>
      <c r="E24" s="20">
        <v>46260.0</v>
      </c>
      <c r="F24" s="19">
        <v>7.0</v>
      </c>
      <c r="G24" s="19" t="s">
        <v>98</v>
      </c>
      <c r="H24" s="19" t="s">
        <v>86</v>
      </c>
      <c r="I24" s="19">
        <v>300.0</v>
      </c>
      <c r="J24" s="19" t="s">
        <v>52</v>
      </c>
      <c r="K24" s="19" t="s">
        <v>87</v>
      </c>
      <c r="L24" s="19" t="s">
        <v>87</v>
      </c>
      <c r="M24" s="19" t="s">
        <v>88</v>
      </c>
      <c r="N24" s="19">
        <v>6.0</v>
      </c>
      <c r="O24" s="19" t="s">
        <v>58</v>
      </c>
      <c r="P24" s="19" t="s">
        <v>58</v>
      </c>
      <c r="Q24" s="19" t="s">
        <v>58</v>
      </c>
      <c r="R24" s="19" t="s">
        <v>52</v>
      </c>
      <c r="T24" s="18" t="str">
        <f t="shared" si="1"/>
        <v/>
      </c>
      <c r="U24" s="18" t="str">
        <f t="shared" si="2"/>
        <v/>
      </c>
      <c r="V24" s="18" t="str">
        <f t="shared" si="3"/>
        <v/>
      </c>
      <c r="W24" s="18">
        <f t="shared" si="4"/>
        <v>300</v>
      </c>
      <c r="X24" s="18">
        <f t="shared" si="5"/>
        <v>300</v>
      </c>
      <c r="Y24" s="18" t="str">
        <f t="shared" si="6"/>
        <v/>
      </c>
      <c r="Z24" s="18" t="str">
        <f t="shared" si="7"/>
        <v/>
      </c>
      <c r="AA24" s="18" t="str">
        <f t="shared" si="8"/>
        <v/>
      </c>
      <c r="AB24" s="18">
        <f t="shared" si="9"/>
        <v>300</v>
      </c>
      <c r="AC24" s="18" t="str">
        <f t="shared" si="10"/>
        <v/>
      </c>
      <c r="AD24" s="18">
        <f t="shared" si="11"/>
        <v>300</v>
      </c>
      <c r="AE24" s="18">
        <f t="shared" si="12"/>
        <v>6</v>
      </c>
    </row>
    <row r="25" ht="15.75" customHeight="1">
      <c r="A25" s="19" t="s">
        <v>118</v>
      </c>
      <c r="B25" s="19" t="s">
        <v>60</v>
      </c>
      <c r="C25" s="19" t="s">
        <v>51</v>
      </c>
      <c r="D25" s="19" t="s">
        <v>54</v>
      </c>
      <c r="E25" s="20">
        <v>46260.0</v>
      </c>
      <c r="F25" s="19">
        <v>8.0</v>
      </c>
      <c r="G25" s="19" t="s">
        <v>92</v>
      </c>
      <c r="H25" s="19" t="s">
        <v>80</v>
      </c>
      <c r="I25" s="19">
        <v>164.0</v>
      </c>
      <c r="J25" s="19" t="s">
        <v>58</v>
      </c>
      <c r="K25" s="19" t="s">
        <v>93</v>
      </c>
      <c r="L25" s="19" t="s">
        <v>112</v>
      </c>
      <c r="M25" s="19" t="s">
        <v>66</v>
      </c>
      <c r="N25" s="19">
        <v>4.0</v>
      </c>
      <c r="O25" s="19" t="s">
        <v>58</v>
      </c>
      <c r="P25" s="19" t="s">
        <v>58</v>
      </c>
      <c r="Q25" s="19" t="s">
        <v>58</v>
      </c>
      <c r="R25" s="19" t="s">
        <v>52</v>
      </c>
      <c r="T25" s="18" t="str">
        <f t="shared" si="1"/>
        <v/>
      </c>
      <c r="U25" s="18">
        <f t="shared" si="2"/>
        <v>164</v>
      </c>
      <c r="V25" s="18" t="str">
        <f t="shared" si="3"/>
        <v/>
      </c>
      <c r="W25" s="18" t="str">
        <f t="shared" si="4"/>
        <v/>
      </c>
      <c r="X25" s="18">
        <f t="shared" si="5"/>
        <v>164</v>
      </c>
      <c r="Y25" s="18" t="str">
        <f t="shared" si="6"/>
        <v/>
      </c>
      <c r="Z25" s="18" t="str">
        <f t="shared" si="7"/>
        <v/>
      </c>
      <c r="AA25" s="18" t="str">
        <f t="shared" si="8"/>
        <v/>
      </c>
      <c r="AB25" s="18">
        <f t="shared" si="9"/>
        <v>164</v>
      </c>
      <c r="AC25" s="18" t="str">
        <f t="shared" si="10"/>
        <v/>
      </c>
      <c r="AD25" s="18">
        <f t="shared" si="11"/>
        <v>164</v>
      </c>
      <c r="AE25" s="18">
        <f t="shared" si="12"/>
        <v>4</v>
      </c>
    </row>
    <row r="26" ht="15.75" customHeight="1">
      <c r="A26" s="19" t="s">
        <v>131</v>
      </c>
      <c r="B26" s="19" t="s">
        <v>67</v>
      </c>
      <c r="C26" s="19" t="s">
        <v>51</v>
      </c>
      <c r="D26" s="19" t="s">
        <v>54</v>
      </c>
      <c r="E26" s="20">
        <v>46261.0</v>
      </c>
      <c r="F26" s="19">
        <v>1.0</v>
      </c>
      <c r="G26" s="19" t="s">
        <v>95</v>
      </c>
      <c r="H26" s="19" t="s">
        <v>83</v>
      </c>
      <c r="I26" s="19">
        <v>300.0</v>
      </c>
      <c r="J26" s="19" t="s">
        <v>52</v>
      </c>
      <c r="K26" s="19" t="s">
        <v>87</v>
      </c>
      <c r="L26" s="19" t="s">
        <v>87</v>
      </c>
      <c r="M26" s="19" t="s">
        <v>88</v>
      </c>
      <c r="N26" s="19">
        <v>6.0</v>
      </c>
      <c r="O26" s="19" t="s">
        <v>58</v>
      </c>
      <c r="P26" s="19" t="s">
        <v>52</v>
      </c>
      <c r="Q26" s="19" t="s">
        <v>58</v>
      </c>
      <c r="R26" s="19" t="s">
        <v>52</v>
      </c>
      <c r="T26" s="18" t="str">
        <f t="shared" si="1"/>
        <v/>
      </c>
      <c r="U26" s="18" t="str">
        <f t="shared" si="2"/>
        <v/>
      </c>
      <c r="V26" s="18">
        <f t="shared" si="3"/>
        <v>300</v>
      </c>
      <c r="W26" s="18" t="str">
        <f t="shared" si="4"/>
        <v/>
      </c>
      <c r="X26" s="18">
        <f t="shared" si="5"/>
        <v>300</v>
      </c>
      <c r="Y26" s="18" t="str">
        <f t="shared" si="6"/>
        <v/>
      </c>
      <c r="Z26" s="18">
        <f t="shared" si="7"/>
        <v>300</v>
      </c>
      <c r="AA26" s="18" t="str">
        <f t="shared" si="8"/>
        <v/>
      </c>
      <c r="AB26" s="18" t="str">
        <f t="shared" si="9"/>
        <v/>
      </c>
      <c r="AC26" s="18">
        <f t="shared" si="10"/>
        <v>300</v>
      </c>
      <c r="AD26" s="18" t="str">
        <f t="shared" si="11"/>
        <v/>
      </c>
      <c r="AE26" s="18">
        <f t="shared" si="12"/>
        <v>6</v>
      </c>
    </row>
    <row r="27" ht="15.75" customHeight="1">
      <c r="A27" s="19" t="s">
        <v>131</v>
      </c>
      <c r="B27" s="19" t="s">
        <v>67</v>
      </c>
      <c r="C27" s="19" t="s">
        <v>51</v>
      </c>
      <c r="D27" s="19" t="s">
        <v>54</v>
      </c>
      <c r="E27" s="20">
        <v>46261.0</v>
      </c>
      <c r="F27" s="19">
        <v>2.0</v>
      </c>
      <c r="G27" s="19" t="s">
        <v>89</v>
      </c>
      <c r="H27" s="19" t="s">
        <v>54</v>
      </c>
      <c r="I27" s="19">
        <v>17.0</v>
      </c>
      <c r="J27" s="19" t="s">
        <v>58</v>
      </c>
      <c r="K27" s="19" t="s">
        <v>90</v>
      </c>
      <c r="L27" s="19" t="s">
        <v>91</v>
      </c>
      <c r="M27" s="19" t="s">
        <v>66</v>
      </c>
      <c r="N27" s="19">
        <v>1.0</v>
      </c>
      <c r="O27" s="19" t="s">
        <v>52</v>
      </c>
      <c r="P27" s="19" t="s">
        <v>52</v>
      </c>
      <c r="Q27" s="19" t="s">
        <v>58</v>
      </c>
      <c r="R27" s="19" t="s">
        <v>52</v>
      </c>
      <c r="T27" s="18">
        <f t="shared" si="1"/>
        <v>17</v>
      </c>
      <c r="U27" s="18" t="str">
        <f t="shared" si="2"/>
        <v/>
      </c>
      <c r="V27" s="18" t="str">
        <f t="shared" si="3"/>
        <v/>
      </c>
      <c r="W27" s="18" t="str">
        <f t="shared" si="4"/>
        <v/>
      </c>
      <c r="X27" s="18">
        <f t="shared" si="5"/>
        <v>17</v>
      </c>
      <c r="Y27" s="18" t="str">
        <f t="shared" si="6"/>
        <v/>
      </c>
      <c r="Z27" s="18">
        <f t="shared" si="7"/>
        <v>17</v>
      </c>
      <c r="AA27" s="18" t="str">
        <f t="shared" si="8"/>
        <v/>
      </c>
      <c r="AB27" s="18" t="str">
        <f t="shared" si="9"/>
        <v/>
      </c>
      <c r="AC27" s="18">
        <f t="shared" si="10"/>
        <v>17</v>
      </c>
      <c r="AD27" s="18" t="str">
        <f t="shared" si="11"/>
        <v/>
      </c>
      <c r="AE27" s="18">
        <f t="shared" si="12"/>
        <v>1</v>
      </c>
    </row>
    <row r="28" ht="15.75" customHeight="1">
      <c r="A28" s="19" t="s">
        <v>131</v>
      </c>
      <c r="B28" s="19" t="s">
        <v>67</v>
      </c>
      <c r="C28" s="19" t="s">
        <v>51</v>
      </c>
      <c r="D28" s="19" t="s">
        <v>54</v>
      </c>
      <c r="E28" s="20">
        <v>46261.0</v>
      </c>
      <c r="F28" s="19">
        <v>3.0</v>
      </c>
      <c r="G28" s="19" t="s">
        <v>98</v>
      </c>
      <c r="H28" s="19" t="s">
        <v>86</v>
      </c>
      <c r="I28" s="19">
        <v>103.0</v>
      </c>
      <c r="J28" s="19" t="s">
        <v>58</v>
      </c>
      <c r="K28" s="19" t="s">
        <v>132</v>
      </c>
      <c r="L28" s="19" t="s">
        <v>133</v>
      </c>
      <c r="M28" s="19" t="s">
        <v>94</v>
      </c>
      <c r="N28" s="19">
        <v>4.0</v>
      </c>
      <c r="O28" s="19" t="s">
        <v>52</v>
      </c>
      <c r="P28" s="19" t="s">
        <v>52</v>
      </c>
      <c r="Q28" s="19" t="s">
        <v>58</v>
      </c>
      <c r="R28" s="19" t="s">
        <v>52</v>
      </c>
      <c r="T28" s="18" t="str">
        <f t="shared" si="1"/>
        <v/>
      </c>
      <c r="U28" s="18" t="str">
        <f t="shared" si="2"/>
        <v/>
      </c>
      <c r="V28" s="18" t="str">
        <f t="shared" si="3"/>
        <v/>
      </c>
      <c r="W28" s="18">
        <f t="shared" si="4"/>
        <v>103</v>
      </c>
      <c r="X28" s="18">
        <f t="shared" si="5"/>
        <v>103</v>
      </c>
      <c r="Y28" s="18" t="str">
        <f t="shared" si="6"/>
        <v/>
      </c>
      <c r="Z28" s="18">
        <f t="shared" si="7"/>
        <v>103</v>
      </c>
      <c r="AA28" s="18" t="str">
        <f t="shared" si="8"/>
        <v/>
      </c>
      <c r="AB28" s="18" t="str">
        <f t="shared" si="9"/>
        <v/>
      </c>
      <c r="AC28" s="18">
        <f t="shared" si="10"/>
        <v>103</v>
      </c>
      <c r="AD28" s="18" t="str">
        <f t="shared" si="11"/>
        <v/>
      </c>
      <c r="AE28" s="18">
        <f t="shared" si="12"/>
        <v>4</v>
      </c>
    </row>
    <row r="29" ht="15.75" customHeight="1">
      <c r="A29" s="19" t="s">
        <v>131</v>
      </c>
      <c r="B29" s="19" t="s">
        <v>67</v>
      </c>
      <c r="C29" s="19" t="s">
        <v>51</v>
      </c>
      <c r="D29" s="19" t="s">
        <v>54</v>
      </c>
      <c r="E29" s="20">
        <v>46261.0</v>
      </c>
      <c r="F29" s="19">
        <v>4.0</v>
      </c>
      <c r="G29" s="19" t="s">
        <v>92</v>
      </c>
      <c r="H29" s="19" t="s">
        <v>80</v>
      </c>
      <c r="I29" s="19">
        <v>89.0</v>
      </c>
      <c r="J29" s="19" t="s">
        <v>58</v>
      </c>
      <c r="K29" s="19" t="s">
        <v>93</v>
      </c>
      <c r="L29" s="19" t="s">
        <v>65</v>
      </c>
      <c r="M29" s="19" t="s">
        <v>94</v>
      </c>
      <c r="N29" s="19">
        <v>3.0</v>
      </c>
      <c r="O29" s="19" t="s">
        <v>52</v>
      </c>
      <c r="P29" s="19" t="s">
        <v>52</v>
      </c>
      <c r="Q29" s="19" t="s">
        <v>58</v>
      </c>
      <c r="R29" s="19" t="s">
        <v>52</v>
      </c>
      <c r="T29" s="18" t="str">
        <f t="shared" si="1"/>
        <v/>
      </c>
      <c r="U29" s="18">
        <f t="shared" si="2"/>
        <v>89</v>
      </c>
      <c r="V29" s="18" t="str">
        <f t="shared" si="3"/>
        <v/>
      </c>
      <c r="W29" s="18" t="str">
        <f t="shared" si="4"/>
        <v/>
      </c>
      <c r="X29" s="18">
        <f t="shared" si="5"/>
        <v>89</v>
      </c>
      <c r="Y29" s="18" t="str">
        <f t="shared" si="6"/>
        <v/>
      </c>
      <c r="Z29" s="18">
        <f t="shared" si="7"/>
        <v>89</v>
      </c>
      <c r="AA29" s="18" t="str">
        <f t="shared" si="8"/>
        <v/>
      </c>
      <c r="AB29" s="18" t="str">
        <f t="shared" si="9"/>
        <v/>
      </c>
      <c r="AC29" s="18">
        <f t="shared" si="10"/>
        <v>89</v>
      </c>
      <c r="AD29" s="18" t="str">
        <f t="shared" si="11"/>
        <v/>
      </c>
      <c r="AE29" s="18">
        <f t="shared" si="12"/>
        <v>3</v>
      </c>
    </row>
    <row r="30" ht="15.75" customHeight="1">
      <c r="A30" s="19" t="s">
        <v>131</v>
      </c>
      <c r="B30" s="19" t="s">
        <v>67</v>
      </c>
      <c r="C30" s="19" t="s">
        <v>51</v>
      </c>
      <c r="D30" s="19" t="s">
        <v>54</v>
      </c>
      <c r="E30" s="20">
        <v>46261.0</v>
      </c>
      <c r="F30" s="19">
        <v>5.0</v>
      </c>
      <c r="G30" s="19" t="s">
        <v>82</v>
      </c>
      <c r="H30" s="19" t="s">
        <v>83</v>
      </c>
      <c r="I30" s="19">
        <v>56.0</v>
      </c>
      <c r="J30" s="19" t="s">
        <v>58</v>
      </c>
      <c r="K30" s="19" t="s">
        <v>84</v>
      </c>
      <c r="L30" s="19" t="s">
        <v>65</v>
      </c>
      <c r="M30" s="19" t="s">
        <v>66</v>
      </c>
      <c r="N30" s="19">
        <v>4.0</v>
      </c>
      <c r="O30" s="19" t="s">
        <v>52</v>
      </c>
      <c r="P30" s="19" t="s">
        <v>52</v>
      </c>
      <c r="Q30" s="19" t="s">
        <v>58</v>
      </c>
      <c r="R30" s="19" t="s">
        <v>52</v>
      </c>
      <c r="T30" s="18" t="str">
        <f t="shared" si="1"/>
        <v/>
      </c>
      <c r="U30" s="18" t="str">
        <f t="shared" si="2"/>
        <v/>
      </c>
      <c r="V30" s="18">
        <f t="shared" si="3"/>
        <v>56</v>
      </c>
      <c r="W30" s="18" t="str">
        <f t="shared" si="4"/>
        <v/>
      </c>
      <c r="X30" s="18">
        <f t="shared" si="5"/>
        <v>56</v>
      </c>
      <c r="Y30" s="18" t="str">
        <f t="shared" si="6"/>
        <v/>
      </c>
      <c r="Z30" s="18">
        <f t="shared" si="7"/>
        <v>56</v>
      </c>
      <c r="AA30" s="18" t="str">
        <f t="shared" si="8"/>
        <v/>
      </c>
      <c r="AB30" s="18" t="str">
        <f t="shared" si="9"/>
        <v/>
      </c>
      <c r="AC30" s="18" t="str">
        <f t="shared" si="10"/>
        <v/>
      </c>
      <c r="AD30" s="18">
        <f t="shared" si="11"/>
        <v>56</v>
      </c>
      <c r="AE30" s="18">
        <f t="shared" si="12"/>
        <v>4</v>
      </c>
    </row>
    <row r="31" ht="15.75" customHeight="1">
      <c r="A31" s="19" t="s">
        <v>131</v>
      </c>
      <c r="B31" s="19" t="s">
        <v>67</v>
      </c>
      <c r="C31" s="19" t="s">
        <v>51</v>
      </c>
      <c r="D31" s="19" t="s">
        <v>54</v>
      </c>
      <c r="E31" s="20">
        <v>46261.0</v>
      </c>
      <c r="F31" s="19">
        <v>6.0</v>
      </c>
      <c r="G31" s="19" t="s">
        <v>59</v>
      </c>
      <c r="H31" s="19" t="s">
        <v>54</v>
      </c>
      <c r="I31" s="19">
        <v>27.0</v>
      </c>
      <c r="J31" s="19" t="s">
        <v>58</v>
      </c>
      <c r="K31" s="19" t="s">
        <v>64</v>
      </c>
      <c r="L31" s="19" t="s">
        <v>65</v>
      </c>
      <c r="M31" s="19" t="s">
        <v>66</v>
      </c>
      <c r="N31" s="19">
        <v>1.0</v>
      </c>
      <c r="O31" s="19" t="s">
        <v>52</v>
      </c>
      <c r="P31" s="19" t="s">
        <v>52</v>
      </c>
      <c r="Q31" s="19" t="s">
        <v>58</v>
      </c>
      <c r="R31" s="19" t="s">
        <v>52</v>
      </c>
      <c r="T31" s="18">
        <f t="shared" si="1"/>
        <v>27</v>
      </c>
      <c r="U31" s="18" t="str">
        <f t="shared" si="2"/>
        <v/>
      </c>
      <c r="V31" s="18" t="str">
        <f t="shared" si="3"/>
        <v/>
      </c>
      <c r="W31" s="18" t="str">
        <f t="shared" si="4"/>
        <v/>
      </c>
      <c r="X31" s="18">
        <f t="shared" si="5"/>
        <v>27</v>
      </c>
      <c r="Y31" s="18" t="str">
        <f t="shared" si="6"/>
        <v/>
      </c>
      <c r="Z31" s="18">
        <f t="shared" si="7"/>
        <v>27</v>
      </c>
      <c r="AA31" s="18" t="str">
        <f t="shared" si="8"/>
        <v/>
      </c>
      <c r="AB31" s="18" t="str">
        <f t="shared" si="9"/>
        <v/>
      </c>
      <c r="AC31" s="18" t="str">
        <f t="shared" si="10"/>
        <v/>
      </c>
      <c r="AD31" s="18">
        <f t="shared" si="11"/>
        <v>27</v>
      </c>
      <c r="AE31" s="18">
        <f t="shared" si="12"/>
        <v>1</v>
      </c>
    </row>
    <row r="32" ht="15.75" customHeight="1">
      <c r="A32" s="19" t="s">
        <v>131</v>
      </c>
      <c r="B32" s="19" t="s">
        <v>67</v>
      </c>
      <c r="C32" s="19" t="s">
        <v>51</v>
      </c>
      <c r="D32" s="19" t="s">
        <v>54</v>
      </c>
      <c r="E32" s="20">
        <v>46261.0</v>
      </c>
      <c r="F32" s="19">
        <v>7.0</v>
      </c>
      <c r="G32" s="19" t="s">
        <v>85</v>
      </c>
      <c r="H32" s="19" t="s">
        <v>86</v>
      </c>
      <c r="I32" s="19">
        <v>300.0</v>
      </c>
      <c r="J32" s="19" t="s">
        <v>52</v>
      </c>
      <c r="K32" s="19" t="s">
        <v>87</v>
      </c>
      <c r="L32" s="19" t="s">
        <v>87</v>
      </c>
      <c r="M32" s="19" t="s">
        <v>88</v>
      </c>
      <c r="N32" s="19">
        <v>5.0</v>
      </c>
      <c r="O32" s="19" t="s">
        <v>52</v>
      </c>
      <c r="P32" s="19" t="s">
        <v>52</v>
      </c>
      <c r="Q32" s="19" t="s">
        <v>52</v>
      </c>
      <c r="R32" s="19" t="s">
        <v>52</v>
      </c>
      <c r="T32" s="18" t="str">
        <f t="shared" si="1"/>
        <v/>
      </c>
      <c r="U32" s="18" t="str">
        <f t="shared" si="2"/>
        <v/>
      </c>
      <c r="V32" s="18" t="str">
        <f t="shared" si="3"/>
        <v/>
      </c>
      <c r="W32" s="18">
        <f t="shared" si="4"/>
        <v>300</v>
      </c>
      <c r="X32" s="18">
        <f t="shared" si="5"/>
        <v>300</v>
      </c>
      <c r="Y32" s="18" t="str">
        <f t="shared" si="6"/>
        <v/>
      </c>
      <c r="Z32" s="18">
        <f t="shared" si="7"/>
        <v>300</v>
      </c>
      <c r="AA32" s="18" t="str">
        <f t="shared" si="8"/>
        <v/>
      </c>
      <c r="AB32" s="18" t="str">
        <f t="shared" si="9"/>
        <v/>
      </c>
      <c r="AC32" s="18" t="str">
        <f t="shared" si="10"/>
        <v/>
      </c>
      <c r="AD32" s="18">
        <f t="shared" si="11"/>
        <v>300</v>
      </c>
      <c r="AE32" s="18">
        <f t="shared" si="12"/>
        <v>5</v>
      </c>
    </row>
    <row r="33" ht="15.75" customHeight="1">
      <c r="A33" s="19" t="s">
        <v>131</v>
      </c>
      <c r="B33" s="19" t="s">
        <v>67</v>
      </c>
      <c r="C33" s="19" t="s">
        <v>51</v>
      </c>
      <c r="D33" s="19" t="s">
        <v>54</v>
      </c>
      <c r="E33" s="20">
        <v>46261.0</v>
      </c>
      <c r="F33" s="19">
        <v>8.0</v>
      </c>
      <c r="G33" s="19" t="s">
        <v>79</v>
      </c>
      <c r="H33" s="19" t="s">
        <v>80</v>
      </c>
      <c r="I33" s="19">
        <v>49.0</v>
      </c>
      <c r="J33" s="19" t="s">
        <v>58</v>
      </c>
      <c r="K33" s="19" t="s">
        <v>121</v>
      </c>
      <c r="L33" s="19" t="s">
        <v>122</v>
      </c>
      <c r="M33" s="19" t="s">
        <v>94</v>
      </c>
      <c r="N33" s="19">
        <v>4.0</v>
      </c>
      <c r="O33" s="19" t="s">
        <v>52</v>
      </c>
      <c r="P33" s="19" t="s">
        <v>52</v>
      </c>
      <c r="Q33" s="19" t="s">
        <v>58</v>
      </c>
      <c r="R33" s="19" t="s">
        <v>52</v>
      </c>
      <c r="T33" s="18" t="str">
        <f t="shared" si="1"/>
        <v/>
      </c>
      <c r="U33" s="18">
        <f t="shared" si="2"/>
        <v>49</v>
      </c>
      <c r="V33" s="18" t="str">
        <f t="shared" si="3"/>
        <v/>
      </c>
      <c r="W33" s="18" t="str">
        <f t="shared" si="4"/>
        <v/>
      </c>
      <c r="X33" s="18">
        <f t="shared" si="5"/>
        <v>49</v>
      </c>
      <c r="Y33" s="18" t="str">
        <f t="shared" si="6"/>
        <v/>
      </c>
      <c r="Z33" s="18">
        <f t="shared" si="7"/>
        <v>49</v>
      </c>
      <c r="AA33" s="18" t="str">
        <f t="shared" si="8"/>
        <v/>
      </c>
      <c r="AB33" s="18" t="str">
        <f t="shared" si="9"/>
        <v/>
      </c>
      <c r="AC33" s="18" t="str">
        <f t="shared" si="10"/>
        <v/>
      </c>
      <c r="AD33" s="18">
        <f t="shared" si="11"/>
        <v>49</v>
      </c>
      <c r="AE33" s="18">
        <f t="shared" si="12"/>
        <v>4</v>
      </c>
    </row>
    <row r="34" ht="15.75" customHeight="1">
      <c r="A34" s="19" t="s">
        <v>134</v>
      </c>
      <c r="B34" s="19" t="s">
        <v>70</v>
      </c>
      <c r="C34" s="19" t="s">
        <v>51</v>
      </c>
      <c r="D34" s="19" t="s">
        <v>54</v>
      </c>
      <c r="E34" s="20">
        <v>46262.0</v>
      </c>
      <c r="F34" s="19">
        <v>1.0</v>
      </c>
      <c r="G34" s="19" t="s">
        <v>79</v>
      </c>
      <c r="H34" s="19" t="s">
        <v>80</v>
      </c>
      <c r="I34" s="19">
        <v>100.0</v>
      </c>
      <c r="J34" s="19" t="s">
        <v>58</v>
      </c>
      <c r="K34" s="19" t="s">
        <v>121</v>
      </c>
      <c r="L34" s="19" t="s">
        <v>91</v>
      </c>
      <c r="M34" s="19" t="s">
        <v>94</v>
      </c>
      <c r="N34" s="19">
        <v>1.0</v>
      </c>
      <c r="O34" s="19" t="s">
        <v>58</v>
      </c>
      <c r="P34" s="19" t="s">
        <v>58</v>
      </c>
      <c r="Q34" s="19" t="s">
        <v>58</v>
      </c>
      <c r="R34" s="19" t="s">
        <v>52</v>
      </c>
      <c r="T34" s="18" t="str">
        <f t="shared" si="1"/>
        <v/>
      </c>
      <c r="U34" s="18">
        <f t="shared" si="2"/>
        <v>100</v>
      </c>
      <c r="V34" s="18" t="str">
        <f t="shared" si="3"/>
        <v/>
      </c>
      <c r="W34" s="18" t="str">
        <f t="shared" si="4"/>
        <v/>
      </c>
      <c r="X34" s="18">
        <f t="shared" si="5"/>
        <v>100</v>
      </c>
      <c r="Y34" s="18" t="str">
        <f t="shared" si="6"/>
        <v/>
      </c>
      <c r="Z34" s="18" t="str">
        <f t="shared" si="7"/>
        <v/>
      </c>
      <c r="AA34" s="18" t="str">
        <f t="shared" si="8"/>
        <v/>
      </c>
      <c r="AB34" s="18">
        <f t="shared" si="9"/>
        <v>100</v>
      </c>
      <c r="AC34" s="18">
        <f t="shared" si="10"/>
        <v>100</v>
      </c>
      <c r="AD34" s="18" t="str">
        <f t="shared" si="11"/>
        <v/>
      </c>
      <c r="AE34" s="18">
        <f t="shared" si="12"/>
        <v>1</v>
      </c>
    </row>
    <row r="35" ht="15.75" customHeight="1">
      <c r="A35" s="19" t="s">
        <v>134</v>
      </c>
      <c r="B35" s="19" t="s">
        <v>70</v>
      </c>
      <c r="C35" s="19" t="s">
        <v>51</v>
      </c>
      <c r="D35" s="19" t="s">
        <v>54</v>
      </c>
      <c r="E35" s="20">
        <v>46262.0</v>
      </c>
      <c r="F35" s="19">
        <v>2.0</v>
      </c>
      <c r="G35" s="19" t="s">
        <v>85</v>
      </c>
      <c r="H35" s="19" t="s">
        <v>86</v>
      </c>
      <c r="I35" s="19">
        <v>300.0</v>
      </c>
      <c r="J35" s="19" t="s">
        <v>52</v>
      </c>
      <c r="K35" s="19" t="s">
        <v>87</v>
      </c>
      <c r="L35" s="19" t="s">
        <v>87</v>
      </c>
      <c r="M35" s="19" t="s">
        <v>88</v>
      </c>
      <c r="N35" s="19">
        <v>3.0</v>
      </c>
      <c r="O35" s="19" t="s">
        <v>58</v>
      </c>
      <c r="P35" s="19" t="s">
        <v>58</v>
      </c>
      <c r="Q35" s="19" t="s">
        <v>58</v>
      </c>
      <c r="R35" s="19" t="s">
        <v>52</v>
      </c>
      <c r="T35" s="18" t="str">
        <f t="shared" si="1"/>
        <v/>
      </c>
      <c r="U35" s="18" t="str">
        <f t="shared" si="2"/>
        <v/>
      </c>
      <c r="V35" s="18" t="str">
        <f t="shared" si="3"/>
        <v/>
      </c>
      <c r="W35" s="18">
        <f t="shared" si="4"/>
        <v>300</v>
      </c>
      <c r="X35" s="18">
        <f t="shared" si="5"/>
        <v>300</v>
      </c>
      <c r="Y35" s="18" t="str">
        <f t="shared" si="6"/>
        <v/>
      </c>
      <c r="Z35" s="18" t="str">
        <f t="shared" si="7"/>
        <v/>
      </c>
      <c r="AA35" s="18" t="str">
        <f t="shared" si="8"/>
        <v/>
      </c>
      <c r="AB35" s="18">
        <f t="shared" si="9"/>
        <v>300</v>
      </c>
      <c r="AC35" s="18">
        <f t="shared" si="10"/>
        <v>300</v>
      </c>
      <c r="AD35" s="18" t="str">
        <f t="shared" si="11"/>
        <v/>
      </c>
      <c r="AE35" s="18">
        <f t="shared" si="12"/>
        <v>3</v>
      </c>
    </row>
    <row r="36" ht="15.75" customHeight="1">
      <c r="A36" s="19" t="s">
        <v>134</v>
      </c>
      <c r="B36" s="19" t="s">
        <v>70</v>
      </c>
      <c r="C36" s="19" t="s">
        <v>51</v>
      </c>
      <c r="D36" s="19" t="s">
        <v>54</v>
      </c>
      <c r="E36" s="20">
        <v>46262.0</v>
      </c>
      <c r="F36" s="19">
        <v>3.0</v>
      </c>
      <c r="G36" s="19" t="s">
        <v>59</v>
      </c>
      <c r="H36" s="19" t="s">
        <v>54</v>
      </c>
      <c r="I36" s="19">
        <v>20.0</v>
      </c>
      <c r="J36" s="19" t="s">
        <v>58</v>
      </c>
      <c r="K36" s="19" t="s">
        <v>64</v>
      </c>
      <c r="L36" s="19" t="s">
        <v>65</v>
      </c>
      <c r="M36" s="19" t="s">
        <v>66</v>
      </c>
      <c r="N36" s="19">
        <v>1.0</v>
      </c>
      <c r="O36" s="19" t="s">
        <v>58</v>
      </c>
      <c r="P36" s="19" t="s">
        <v>58</v>
      </c>
      <c r="Q36" s="19" t="s">
        <v>58</v>
      </c>
      <c r="R36" s="19" t="s">
        <v>52</v>
      </c>
      <c r="T36" s="18">
        <f t="shared" si="1"/>
        <v>20</v>
      </c>
      <c r="U36" s="18" t="str">
        <f t="shared" si="2"/>
        <v/>
      </c>
      <c r="V36" s="18" t="str">
        <f t="shared" si="3"/>
        <v/>
      </c>
      <c r="W36" s="18" t="str">
        <f t="shared" si="4"/>
        <v/>
      </c>
      <c r="X36" s="18">
        <f t="shared" si="5"/>
        <v>20</v>
      </c>
      <c r="Y36" s="18" t="str">
        <f t="shared" si="6"/>
        <v/>
      </c>
      <c r="Z36" s="18" t="str">
        <f t="shared" si="7"/>
        <v/>
      </c>
      <c r="AA36" s="18" t="str">
        <f t="shared" si="8"/>
        <v/>
      </c>
      <c r="AB36" s="18">
        <f t="shared" si="9"/>
        <v>20</v>
      </c>
      <c r="AC36" s="18">
        <f t="shared" si="10"/>
        <v>20</v>
      </c>
      <c r="AD36" s="18" t="str">
        <f t="shared" si="11"/>
        <v/>
      </c>
      <c r="AE36" s="18">
        <f t="shared" si="12"/>
        <v>1</v>
      </c>
    </row>
    <row r="37" ht="15.75" customHeight="1">
      <c r="A37" s="19" t="s">
        <v>134</v>
      </c>
      <c r="B37" s="19" t="s">
        <v>70</v>
      </c>
      <c r="C37" s="19" t="s">
        <v>51</v>
      </c>
      <c r="D37" s="19" t="s">
        <v>54</v>
      </c>
      <c r="E37" s="20">
        <v>46262.0</v>
      </c>
      <c r="F37" s="19">
        <v>4.0</v>
      </c>
      <c r="G37" s="19" t="s">
        <v>82</v>
      </c>
      <c r="H37" s="19" t="s">
        <v>83</v>
      </c>
      <c r="I37" s="19">
        <v>231.0</v>
      </c>
      <c r="J37" s="19" t="s">
        <v>58</v>
      </c>
      <c r="K37" s="19" t="s">
        <v>135</v>
      </c>
      <c r="L37" s="19" t="s">
        <v>136</v>
      </c>
      <c r="M37" s="19" t="s">
        <v>94</v>
      </c>
      <c r="N37" s="19">
        <v>5.0</v>
      </c>
      <c r="O37" s="19" t="s">
        <v>58</v>
      </c>
      <c r="P37" s="19" t="s">
        <v>58</v>
      </c>
      <c r="Q37" s="19" t="s">
        <v>58</v>
      </c>
      <c r="R37" s="19" t="s">
        <v>52</v>
      </c>
      <c r="T37" s="18" t="str">
        <f t="shared" si="1"/>
        <v/>
      </c>
      <c r="U37" s="18" t="str">
        <f t="shared" si="2"/>
        <v/>
      </c>
      <c r="V37" s="18">
        <f t="shared" si="3"/>
        <v>231</v>
      </c>
      <c r="W37" s="18" t="str">
        <f t="shared" si="4"/>
        <v/>
      </c>
      <c r="X37" s="18">
        <f t="shared" si="5"/>
        <v>231</v>
      </c>
      <c r="Y37" s="18" t="str">
        <f t="shared" si="6"/>
        <v/>
      </c>
      <c r="Z37" s="18" t="str">
        <f t="shared" si="7"/>
        <v/>
      </c>
      <c r="AA37" s="18" t="str">
        <f t="shared" si="8"/>
        <v/>
      </c>
      <c r="AB37" s="18">
        <f t="shared" si="9"/>
        <v>231</v>
      </c>
      <c r="AC37" s="18">
        <f t="shared" si="10"/>
        <v>231</v>
      </c>
      <c r="AD37" s="18" t="str">
        <f t="shared" si="11"/>
        <v/>
      </c>
      <c r="AE37" s="18">
        <f t="shared" si="12"/>
        <v>5</v>
      </c>
    </row>
    <row r="38" ht="15.75" customHeight="1">
      <c r="A38" s="19" t="s">
        <v>134</v>
      </c>
      <c r="B38" s="19" t="s">
        <v>70</v>
      </c>
      <c r="C38" s="19" t="s">
        <v>51</v>
      </c>
      <c r="D38" s="19" t="s">
        <v>54</v>
      </c>
      <c r="E38" s="20">
        <v>46262.0</v>
      </c>
      <c r="F38" s="19">
        <v>5.0</v>
      </c>
      <c r="G38" s="19" t="s">
        <v>92</v>
      </c>
      <c r="H38" s="19" t="s">
        <v>80</v>
      </c>
      <c r="I38" s="19">
        <v>143.0</v>
      </c>
      <c r="J38" s="19" t="s">
        <v>58</v>
      </c>
      <c r="K38" s="19" t="s">
        <v>93</v>
      </c>
      <c r="L38" s="19" t="s">
        <v>112</v>
      </c>
      <c r="M38" s="19" t="s">
        <v>66</v>
      </c>
      <c r="N38" s="19">
        <v>3.0</v>
      </c>
      <c r="O38" s="19" t="s">
        <v>58</v>
      </c>
      <c r="P38" s="19" t="s">
        <v>58</v>
      </c>
      <c r="Q38" s="19" t="s">
        <v>58</v>
      </c>
      <c r="R38" s="19" t="s">
        <v>52</v>
      </c>
      <c r="T38" s="18" t="str">
        <f t="shared" si="1"/>
        <v/>
      </c>
      <c r="U38" s="18">
        <f t="shared" si="2"/>
        <v>143</v>
      </c>
      <c r="V38" s="18" t="str">
        <f t="shared" si="3"/>
        <v/>
      </c>
      <c r="W38" s="18" t="str">
        <f t="shared" si="4"/>
        <v/>
      </c>
      <c r="X38" s="18">
        <f t="shared" si="5"/>
        <v>143</v>
      </c>
      <c r="Y38" s="18" t="str">
        <f t="shared" si="6"/>
        <v/>
      </c>
      <c r="Z38" s="18" t="str">
        <f t="shared" si="7"/>
        <v/>
      </c>
      <c r="AA38" s="18" t="str">
        <f t="shared" si="8"/>
        <v/>
      </c>
      <c r="AB38" s="18">
        <f t="shared" si="9"/>
        <v>143</v>
      </c>
      <c r="AC38" s="18" t="str">
        <f t="shared" si="10"/>
        <v/>
      </c>
      <c r="AD38" s="18">
        <f t="shared" si="11"/>
        <v>143</v>
      </c>
      <c r="AE38" s="18">
        <f t="shared" si="12"/>
        <v>3</v>
      </c>
    </row>
    <row r="39" ht="15.75" customHeight="1">
      <c r="A39" s="19" t="s">
        <v>134</v>
      </c>
      <c r="B39" s="19" t="s">
        <v>70</v>
      </c>
      <c r="C39" s="19" t="s">
        <v>51</v>
      </c>
      <c r="D39" s="19" t="s">
        <v>54</v>
      </c>
      <c r="E39" s="20">
        <v>46262.0</v>
      </c>
      <c r="F39" s="19">
        <v>6.0</v>
      </c>
      <c r="G39" s="19" t="s">
        <v>98</v>
      </c>
      <c r="H39" s="19" t="s">
        <v>86</v>
      </c>
      <c r="I39" s="19">
        <v>185.0</v>
      </c>
      <c r="J39" s="19" t="s">
        <v>58</v>
      </c>
      <c r="K39" s="19" t="s">
        <v>132</v>
      </c>
      <c r="L39" s="19" t="s">
        <v>133</v>
      </c>
      <c r="M39" s="19" t="s">
        <v>94</v>
      </c>
      <c r="N39" s="19">
        <v>4.0</v>
      </c>
      <c r="O39" s="19" t="s">
        <v>58</v>
      </c>
      <c r="P39" s="19" t="s">
        <v>58</v>
      </c>
      <c r="Q39" s="19" t="s">
        <v>58</v>
      </c>
      <c r="R39" s="19" t="s">
        <v>52</v>
      </c>
      <c r="T39" s="18" t="str">
        <f t="shared" si="1"/>
        <v/>
      </c>
      <c r="U39" s="18" t="str">
        <f t="shared" si="2"/>
        <v/>
      </c>
      <c r="V39" s="18" t="str">
        <f t="shared" si="3"/>
        <v/>
      </c>
      <c r="W39" s="18">
        <f t="shared" si="4"/>
        <v>185</v>
      </c>
      <c r="X39" s="18">
        <f t="shared" si="5"/>
        <v>185</v>
      </c>
      <c r="Y39" s="18" t="str">
        <f t="shared" si="6"/>
        <v/>
      </c>
      <c r="Z39" s="18" t="str">
        <f t="shared" si="7"/>
        <v/>
      </c>
      <c r="AA39" s="18" t="str">
        <f t="shared" si="8"/>
        <v/>
      </c>
      <c r="AB39" s="18">
        <f t="shared" si="9"/>
        <v>185</v>
      </c>
      <c r="AC39" s="18" t="str">
        <f t="shared" si="10"/>
        <v/>
      </c>
      <c r="AD39" s="18">
        <f t="shared" si="11"/>
        <v>185</v>
      </c>
      <c r="AE39" s="18">
        <f t="shared" si="12"/>
        <v>4</v>
      </c>
    </row>
    <row r="40" ht="15.75" customHeight="1">
      <c r="A40" s="19" t="s">
        <v>134</v>
      </c>
      <c r="B40" s="19" t="s">
        <v>70</v>
      </c>
      <c r="C40" s="19" t="s">
        <v>51</v>
      </c>
      <c r="D40" s="19" t="s">
        <v>54</v>
      </c>
      <c r="E40" s="20">
        <v>46262.0</v>
      </c>
      <c r="F40" s="19">
        <v>7.0</v>
      </c>
      <c r="G40" s="19" t="s">
        <v>89</v>
      </c>
      <c r="H40" s="19" t="s">
        <v>54</v>
      </c>
      <c r="I40" s="19">
        <v>33.0</v>
      </c>
      <c r="J40" s="19" t="s">
        <v>58</v>
      </c>
      <c r="K40" s="19" t="s">
        <v>90</v>
      </c>
      <c r="L40" s="19" t="s">
        <v>91</v>
      </c>
      <c r="M40" s="19" t="s">
        <v>66</v>
      </c>
      <c r="N40" s="19">
        <v>2.0</v>
      </c>
      <c r="O40" s="19" t="s">
        <v>58</v>
      </c>
      <c r="P40" s="19" t="s">
        <v>58</v>
      </c>
      <c r="Q40" s="19" t="s">
        <v>58</v>
      </c>
      <c r="R40" s="19" t="s">
        <v>52</v>
      </c>
      <c r="T40" s="18">
        <f t="shared" si="1"/>
        <v>33</v>
      </c>
      <c r="U40" s="18" t="str">
        <f t="shared" si="2"/>
        <v/>
      </c>
      <c r="V40" s="18" t="str">
        <f t="shared" si="3"/>
        <v/>
      </c>
      <c r="W40" s="18" t="str">
        <f t="shared" si="4"/>
        <v/>
      </c>
      <c r="X40" s="18">
        <f t="shared" si="5"/>
        <v>33</v>
      </c>
      <c r="Y40" s="18" t="str">
        <f t="shared" si="6"/>
        <v/>
      </c>
      <c r="Z40" s="18" t="str">
        <f t="shared" si="7"/>
        <v/>
      </c>
      <c r="AA40" s="18" t="str">
        <f t="shared" si="8"/>
        <v/>
      </c>
      <c r="AB40" s="18">
        <f t="shared" si="9"/>
        <v>33</v>
      </c>
      <c r="AC40" s="18" t="str">
        <f t="shared" si="10"/>
        <v/>
      </c>
      <c r="AD40" s="18">
        <f t="shared" si="11"/>
        <v>33</v>
      </c>
      <c r="AE40" s="18">
        <f t="shared" si="12"/>
        <v>2</v>
      </c>
    </row>
    <row r="41" ht="15.75" customHeight="1">
      <c r="A41" s="19" t="s">
        <v>134</v>
      </c>
      <c r="B41" s="19" t="s">
        <v>70</v>
      </c>
      <c r="C41" s="19" t="s">
        <v>51</v>
      </c>
      <c r="D41" s="19" t="s">
        <v>54</v>
      </c>
      <c r="E41" s="20">
        <v>46262.0</v>
      </c>
      <c r="F41" s="19">
        <v>8.0</v>
      </c>
      <c r="G41" s="19" t="s">
        <v>95</v>
      </c>
      <c r="H41" s="19" t="s">
        <v>83</v>
      </c>
      <c r="I41" s="19">
        <v>217.0</v>
      </c>
      <c r="J41" s="19" t="s">
        <v>58</v>
      </c>
      <c r="K41" s="19" t="s">
        <v>96</v>
      </c>
      <c r="L41" s="19" t="s">
        <v>140</v>
      </c>
      <c r="M41" s="19" t="s">
        <v>94</v>
      </c>
      <c r="N41" s="19">
        <v>5.0</v>
      </c>
      <c r="O41" s="19" t="s">
        <v>52</v>
      </c>
      <c r="P41" s="19" t="s">
        <v>58</v>
      </c>
      <c r="Q41" s="19" t="s">
        <v>58</v>
      </c>
      <c r="R41" s="19" t="s">
        <v>52</v>
      </c>
      <c r="T41" s="18" t="str">
        <f t="shared" si="1"/>
        <v/>
      </c>
      <c r="U41" s="18" t="str">
        <f t="shared" si="2"/>
        <v/>
      </c>
      <c r="V41" s="18">
        <f t="shared" si="3"/>
        <v>217</v>
      </c>
      <c r="W41" s="18" t="str">
        <f t="shared" si="4"/>
        <v/>
      </c>
      <c r="X41" s="18">
        <f t="shared" si="5"/>
        <v>217</v>
      </c>
      <c r="Y41" s="18" t="str">
        <f t="shared" si="6"/>
        <v/>
      </c>
      <c r="Z41" s="18" t="str">
        <f t="shared" si="7"/>
        <v/>
      </c>
      <c r="AA41" s="18" t="str">
        <f t="shared" si="8"/>
        <v/>
      </c>
      <c r="AB41" s="18">
        <f t="shared" si="9"/>
        <v>217</v>
      </c>
      <c r="AC41" s="18" t="str">
        <f t="shared" si="10"/>
        <v/>
      </c>
      <c r="AD41" s="18">
        <f t="shared" si="11"/>
        <v>217</v>
      </c>
      <c r="AE41" s="18">
        <f t="shared" si="12"/>
        <v>5</v>
      </c>
    </row>
    <row r="42" ht="15.75" customHeight="1">
      <c r="A42" s="19" t="s">
        <v>143</v>
      </c>
      <c r="B42" s="19" t="s">
        <v>72</v>
      </c>
      <c r="C42" s="19" t="s">
        <v>51</v>
      </c>
      <c r="D42" s="19" t="s">
        <v>54</v>
      </c>
      <c r="E42" s="20">
        <v>46263.0</v>
      </c>
      <c r="F42" s="19">
        <v>1.0</v>
      </c>
      <c r="G42" s="19" t="s">
        <v>92</v>
      </c>
      <c r="H42" s="19" t="s">
        <v>80</v>
      </c>
      <c r="I42" s="19">
        <v>129.0</v>
      </c>
      <c r="J42" s="19" t="s">
        <v>58</v>
      </c>
      <c r="K42" s="19" t="s">
        <v>81</v>
      </c>
      <c r="L42" s="19" t="s">
        <v>65</v>
      </c>
      <c r="M42" s="19" t="s">
        <v>94</v>
      </c>
      <c r="N42" s="19">
        <v>1.0</v>
      </c>
      <c r="O42" s="19" t="s">
        <v>52</v>
      </c>
      <c r="P42" s="19" t="s">
        <v>74</v>
      </c>
      <c r="Q42" s="19" t="s">
        <v>58</v>
      </c>
      <c r="R42" s="19" t="s">
        <v>52</v>
      </c>
      <c r="T42" s="18" t="str">
        <f t="shared" si="1"/>
        <v/>
      </c>
      <c r="U42" s="18">
        <f t="shared" si="2"/>
        <v>129</v>
      </c>
      <c r="V42" s="18" t="str">
        <f t="shared" si="3"/>
        <v/>
      </c>
      <c r="W42" s="18" t="str">
        <f t="shared" si="4"/>
        <v/>
      </c>
      <c r="X42" s="18">
        <f t="shared" si="5"/>
        <v>129</v>
      </c>
      <c r="Y42" s="18" t="str">
        <f t="shared" si="6"/>
        <v/>
      </c>
      <c r="Z42" s="18" t="str">
        <f t="shared" si="7"/>
        <v/>
      </c>
      <c r="AA42" s="18">
        <f t="shared" si="8"/>
        <v>129</v>
      </c>
      <c r="AB42" s="18" t="str">
        <f t="shared" si="9"/>
        <v/>
      </c>
      <c r="AC42" s="18">
        <f t="shared" si="10"/>
        <v>129</v>
      </c>
      <c r="AD42" s="18" t="str">
        <f t="shared" si="11"/>
        <v/>
      </c>
      <c r="AE42" s="18">
        <f t="shared" si="12"/>
        <v>1</v>
      </c>
    </row>
    <row r="43" ht="15.75" customHeight="1">
      <c r="A43" s="19" t="s">
        <v>143</v>
      </c>
      <c r="B43" s="19" t="s">
        <v>72</v>
      </c>
      <c r="C43" s="19" t="s">
        <v>51</v>
      </c>
      <c r="D43" s="19" t="s">
        <v>54</v>
      </c>
      <c r="E43" s="20">
        <v>46263.0</v>
      </c>
      <c r="F43" s="19">
        <v>2.0</v>
      </c>
      <c r="G43" s="19" t="s">
        <v>98</v>
      </c>
      <c r="H43" s="19" t="s">
        <v>86</v>
      </c>
      <c r="I43" s="19">
        <v>300.0</v>
      </c>
      <c r="J43" s="19" t="s">
        <v>52</v>
      </c>
      <c r="K43" s="19" t="s">
        <v>87</v>
      </c>
      <c r="L43" s="19" t="s">
        <v>87</v>
      </c>
      <c r="M43" s="19" t="s">
        <v>88</v>
      </c>
      <c r="N43" s="19">
        <v>5.0</v>
      </c>
      <c r="O43" s="19" t="s">
        <v>52</v>
      </c>
      <c r="P43" s="19" t="s">
        <v>74</v>
      </c>
      <c r="Q43" s="19" t="s">
        <v>58</v>
      </c>
      <c r="R43" s="19" t="s">
        <v>52</v>
      </c>
      <c r="T43" s="18" t="str">
        <f t="shared" si="1"/>
        <v/>
      </c>
      <c r="U43" s="18" t="str">
        <f t="shared" si="2"/>
        <v/>
      </c>
      <c r="V43" s="18" t="str">
        <f t="shared" si="3"/>
        <v/>
      </c>
      <c r="W43" s="18">
        <f t="shared" si="4"/>
        <v>300</v>
      </c>
      <c r="X43" s="18">
        <f t="shared" si="5"/>
        <v>300</v>
      </c>
      <c r="Y43" s="18" t="str">
        <f t="shared" si="6"/>
        <v/>
      </c>
      <c r="Z43" s="18" t="str">
        <f t="shared" si="7"/>
        <v/>
      </c>
      <c r="AA43" s="18">
        <f t="shared" si="8"/>
        <v>300</v>
      </c>
      <c r="AB43" s="18" t="str">
        <f t="shared" si="9"/>
        <v/>
      </c>
      <c r="AC43" s="18">
        <f t="shared" si="10"/>
        <v>300</v>
      </c>
      <c r="AD43" s="18" t="str">
        <f t="shared" si="11"/>
        <v/>
      </c>
      <c r="AE43" s="18">
        <f t="shared" si="12"/>
        <v>5</v>
      </c>
    </row>
    <row r="44" ht="15.75" customHeight="1">
      <c r="A44" s="19" t="s">
        <v>143</v>
      </c>
      <c r="B44" s="19" t="s">
        <v>72</v>
      </c>
      <c r="C44" s="19" t="s">
        <v>51</v>
      </c>
      <c r="D44" s="19" t="s">
        <v>54</v>
      </c>
      <c r="E44" s="20">
        <v>46263.0</v>
      </c>
      <c r="F44" s="19">
        <v>3.0</v>
      </c>
      <c r="G44" s="19" t="s">
        <v>89</v>
      </c>
      <c r="H44" s="19" t="s">
        <v>54</v>
      </c>
      <c r="I44" s="19">
        <v>25.0</v>
      </c>
      <c r="J44" s="19" t="s">
        <v>58</v>
      </c>
      <c r="K44" s="19" t="s">
        <v>90</v>
      </c>
      <c r="L44" s="19" t="s">
        <v>91</v>
      </c>
      <c r="M44" s="19" t="s">
        <v>66</v>
      </c>
      <c r="N44" s="19">
        <v>2.0</v>
      </c>
      <c r="O44" s="19" t="s">
        <v>52</v>
      </c>
      <c r="P44" s="19" t="s">
        <v>74</v>
      </c>
      <c r="Q44" s="19" t="s">
        <v>58</v>
      </c>
      <c r="R44" s="19" t="s">
        <v>52</v>
      </c>
      <c r="T44" s="18">
        <f t="shared" si="1"/>
        <v>25</v>
      </c>
      <c r="U44" s="18" t="str">
        <f t="shared" si="2"/>
        <v/>
      </c>
      <c r="V44" s="18" t="str">
        <f t="shared" si="3"/>
        <v/>
      </c>
      <c r="W44" s="18" t="str">
        <f t="shared" si="4"/>
        <v/>
      </c>
      <c r="X44" s="18">
        <f t="shared" si="5"/>
        <v>25</v>
      </c>
      <c r="Y44" s="18" t="str">
        <f t="shared" si="6"/>
        <v/>
      </c>
      <c r="Z44" s="18" t="str">
        <f t="shared" si="7"/>
        <v/>
      </c>
      <c r="AA44" s="18">
        <f t="shared" si="8"/>
        <v>25</v>
      </c>
      <c r="AB44" s="18" t="str">
        <f t="shared" si="9"/>
        <v/>
      </c>
      <c r="AC44" s="18">
        <f t="shared" si="10"/>
        <v>25</v>
      </c>
      <c r="AD44" s="18" t="str">
        <f t="shared" si="11"/>
        <v/>
      </c>
      <c r="AE44" s="18">
        <f t="shared" si="12"/>
        <v>2</v>
      </c>
    </row>
    <row r="45" ht="15.75" customHeight="1">
      <c r="A45" s="19" t="s">
        <v>143</v>
      </c>
      <c r="B45" s="19" t="s">
        <v>72</v>
      </c>
      <c r="C45" s="19" t="s">
        <v>51</v>
      </c>
      <c r="D45" s="19" t="s">
        <v>54</v>
      </c>
      <c r="E45" s="20">
        <v>46263.0</v>
      </c>
      <c r="F45" s="19">
        <v>4.0</v>
      </c>
      <c r="G45" s="19" t="s">
        <v>95</v>
      </c>
      <c r="H45" s="19" t="s">
        <v>83</v>
      </c>
      <c r="I45" s="19">
        <v>159.0</v>
      </c>
      <c r="J45" s="19" t="s">
        <v>58</v>
      </c>
      <c r="K45" s="19" t="s">
        <v>96</v>
      </c>
      <c r="L45" s="19" t="s">
        <v>97</v>
      </c>
      <c r="M45" s="19" t="s">
        <v>94</v>
      </c>
      <c r="N45" s="19">
        <v>4.0</v>
      </c>
      <c r="O45" s="19" t="s">
        <v>52</v>
      </c>
      <c r="P45" s="19" t="s">
        <v>74</v>
      </c>
      <c r="Q45" s="19" t="s">
        <v>58</v>
      </c>
      <c r="R45" s="19" t="s">
        <v>52</v>
      </c>
      <c r="T45" s="18" t="str">
        <f t="shared" si="1"/>
        <v/>
      </c>
      <c r="U45" s="18" t="str">
        <f t="shared" si="2"/>
        <v/>
      </c>
      <c r="V45" s="18">
        <f t="shared" si="3"/>
        <v>159</v>
      </c>
      <c r="W45" s="18" t="str">
        <f t="shared" si="4"/>
        <v/>
      </c>
      <c r="X45" s="18">
        <f t="shared" si="5"/>
        <v>159</v>
      </c>
      <c r="Y45" s="18" t="str">
        <f t="shared" si="6"/>
        <v/>
      </c>
      <c r="Z45" s="18" t="str">
        <f t="shared" si="7"/>
        <v/>
      </c>
      <c r="AA45" s="18">
        <f t="shared" si="8"/>
        <v>159</v>
      </c>
      <c r="AB45" s="18" t="str">
        <f t="shared" si="9"/>
        <v/>
      </c>
      <c r="AC45" s="18">
        <f t="shared" si="10"/>
        <v>159</v>
      </c>
      <c r="AD45" s="18" t="str">
        <f t="shared" si="11"/>
        <v/>
      </c>
      <c r="AE45" s="18">
        <f t="shared" si="12"/>
        <v>4</v>
      </c>
    </row>
    <row r="46" ht="15.75" customHeight="1">
      <c r="A46" s="19" t="s">
        <v>143</v>
      </c>
      <c r="B46" s="19" t="s">
        <v>72</v>
      </c>
      <c r="C46" s="19" t="s">
        <v>51</v>
      </c>
      <c r="D46" s="19" t="s">
        <v>54</v>
      </c>
      <c r="E46" s="20">
        <v>46263.0</v>
      </c>
      <c r="F46" s="19">
        <v>5.0</v>
      </c>
      <c r="G46" s="19" t="s">
        <v>79</v>
      </c>
      <c r="H46" s="19" t="s">
        <v>80</v>
      </c>
      <c r="I46" s="19">
        <v>53.0</v>
      </c>
      <c r="J46" s="19" t="s">
        <v>58</v>
      </c>
      <c r="K46" s="19" t="s">
        <v>81</v>
      </c>
      <c r="L46" s="19" t="s">
        <v>65</v>
      </c>
      <c r="M46" s="19" t="s">
        <v>66</v>
      </c>
      <c r="N46" s="19">
        <v>4.0</v>
      </c>
      <c r="O46" s="19" t="s">
        <v>58</v>
      </c>
      <c r="P46" s="19" t="s">
        <v>74</v>
      </c>
      <c r="Q46" s="19" t="s">
        <v>58</v>
      </c>
      <c r="R46" s="19" t="s">
        <v>52</v>
      </c>
      <c r="T46" s="18" t="str">
        <f t="shared" si="1"/>
        <v/>
      </c>
      <c r="U46" s="18">
        <f t="shared" si="2"/>
        <v>53</v>
      </c>
      <c r="V46" s="18" t="str">
        <f t="shared" si="3"/>
        <v/>
      </c>
      <c r="W46" s="18" t="str">
        <f t="shared" si="4"/>
        <v/>
      </c>
      <c r="X46" s="18">
        <f t="shared" si="5"/>
        <v>53</v>
      </c>
      <c r="Y46" s="18" t="str">
        <f t="shared" si="6"/>
        <v/>
      </c>
      <c r="Z46" s="18" t="str">
        <f t="shared" si="7"/>
        <v/>
      </c>
      <c r="AA46" s="18">
        <f t="shared" si="8"/>
        <v>53</v>
      </c>
      <c r="AB46" s="18" t="str">
        <f t="shared" si="9"/>
        <v/>
      </c>
      <c r="AC46" s="18" t="str">
        <f t="shared" si="10"/>
        <v/>
      </c>
      <c r="AD46" s="18">
        <f t="shared" si="11"/>
        <v>53</v>
      </c>
      <c r="AE46" s="18">
        <f t="shared" si="12"/>
        <v>4</v>
      </c>
    </row>
    <row r="47" ht="15.75" customHeight="1">
      <c r="A47" s="19" t="s">
        <v>143</v>
      </c>
      <c r="B47" s="19" t="s">
        <v>72</v>
      </c>
      <c r="C47" s="19" t="s">
        <v>51</v>
      </c>
      <c r="D47" s="19" t="s">
        <v>54</v>
      </c>
      <c r="E47" s="20">
        <v>46263.0</v>
      </c>
      <c r="F47" s="19">
        <v>6.0</v>
      </c>
      <c r="G47" s="19" t="s">
        <v>85</v>
      </c>
      <c r="H47" s="19" t="s">
        <v>86</v>
      </c>
      <c r="I47" s="19">
        <v>300.0</v>
      </c>
      <c r="J47" s="19" t="s">
        <v>52</v>
      </c>
      <c r="K47" s="19" t="s">
        <v>87</v>
      </c>
      <c r="L47" s="19" t="s">
        <v>87</v>
      </c>
      <c r="M47" s="19" t="s">
        <v>88</v>
      </c>
      <c r="N47" s="19">
        <v>4.0</v>
      </c>
      <c r="O47" s="19" t="s">
        <v>52</v>
      </c>
      <c r="P47" s="19" t="s">
        <v>74</v>
      </c>
      <c r="Q47" s="19" t="s">
        <v>58</v>
      </c>
      <c r="R47" s="19" t="s">
        <v>52</v>
      </c>
      <c r="T47" s="18" t="str">
        <f t="shared" si="1"/>
        <v/>
      </c>
      <c r="U47" s="18" t="str">
        <f t="shared" si="2"/>
        <v/>
      </c>
      <c r="V47" s="18" t="str">
        <f t="shared" si="3"/>
        <v/>
      </c>
      <c r="W47" s="18">
        <f t="shared" si="4"/>
        <v>300</v>
      </c>
      <c r="X47" s="18">
        <f t="shared" si="5"/>
        <v>300</v>
      </c>
      <c r="Y47" s="18" t="str">
        <f t="shared" si="6"/>
        <v/>
      </c>
      <c r="Z47" s="18" t="str">
        <f t="shared" si="7"/>
        <v/>
      </c>
      <c r="AA47" s="18">
        <f t="shared" si="8"/>
        <v>300</v>
      </c>
      <c r="AB47" s="18" t="str">
        <f t="shared" si="9"/>
        <v/>
      </c>
      <c r="AC47" s="18" t="str">
        <f t="shared" si="10"/>
        <v/>
      </c>
      <c r="AD47" s="18">
        <f t="shared" si="11"/>
        <v>300</v>
      </c>
      <c r="AE47" s="18">
        <f t="shared" si="12"/>
        <v>4</v>
      </c>
    </row>
    <row r="48" ht="15.75" customHeight="1">
      <c r="A48" s="19" t="s">
        <v>143</v>
      </c>
      <c r="B48" s="19" t="s">
        <v>72</v>
      </c>
      <c r="C48" s="19" t="s">
        <v>51</v>
      </c>
      <c r="D48" s="19" t="s">
        <v>54</v>
      </c>
      <c r="E48" s="20">
        <v>46263.0</v>
      </c>
      <c r="F48" s="19">
        <v>7.0</v>
      </c>
      <c r="G48" s="19" t="s">
        <v>59</v>
      </c>
      <c r="H48" s="19" t="s">
        <v>54</v>
      </c>
      <c r="I48" s="19">
        <v>15.0</v>
      </c>
      <c r="J48" s="19" t="s">
        <v>58</v>
      </c>
      <c r="K48" s="19" t="s">
        <v>64</v>
      </c>
      <c r="L48" s="19" t="s">
        <v>65</v>
      </c>
      <c r="M48" s="19" t="s">
        <v>66</v>
      </c>
      <c r="N48" s="19">
        <v>1.0</v>
      </c>
      <c r="O48" s="19" t="s">
        <v>58</v>
      </c>
      <c r="P48" s="19" t="s">
        <v>74</v>
      </c>
      <c r="Q48" s="19" t="s">
        <v>58</v>
      </c>
      <c r="R48" s="19" t="s">
        <v>52</v>
      </c>
      <c r="T48" s="18">
        <f t="shared" si="1"/>
        <v>15</v>
      </c>
      <c r="U48" s="18" t="str">
        <f t="shared" si="2"/>
        <v/>
      </c>
      <c r="V48" s="18" t="str">
        <f t="shared" si="3"/>
        <v/>
      </c>
      <c r="W48" s="18" t="str">
        <f t="shared" si="4"/>
        <v/>
      </c>
      <c r="X48" s="18">
        <f t="shared" si="5"/>
        <v>15</v>
      </c>
      <c r="Y48" s="18" t="str">
        <f t="shared" si="6"/>
        <v/>
      </c>
      <c r="Z48" s="18" t="str">
        <f t="shared" si="7"/>
        <v/>
      </c>
      <c r="AA48" s="18">
        <f t="shared" si="8"/>
        <v>15</v>
      </c>
      <c r="AB48" s="18" t="str">
        <f t="shared" si="9"/>
        <v/>
      </c>
      <c r="AC48" s="18" t="str">
        <f t="shared" si="10"/>
        <v/>
      </c>
      <c r="AD48" s="18">
        <f t="shared" si="11"/>
        <v>15</v>
      </c>
      <c r="AE48" s="18">
        <f t="shared" si="12"/>
        <v>1</v>
      </c>
    </row>
    <row r="49" ht="15.75" customHeight="1">
      <c r="A49" s="19" t="s">
        <v>143</v>
      </c>
      <c r="B49" s="19" t="s">
        <v>72</v>
      </c>
      <c r="C49" s="19" t="s">
        <v>51</v>
      </c>
      <c r="D49" s="19" t="s">
        <v>54</v>
      </c>
      <c r="E49" s="20">
        <v>46263.0</v>
      </c>
      <c r="F49" s="19">
        <v>8.0</v>
      </c>
      <c r="G49" s="19" t="s">
        <v>82</v>
      </c>
      <c r="H49" s="19" t="s">
        <v>83</v>
      </c>
      <c r="I49" s="19">
        <v>215.0</v>
      </c>
      <c r="J49" s="19" t="s">
        <v>58</v>
      </c>
      <c r="K49" s="19" t="s">
        <v>135</v>
      </c>
      <c r="L49" s="19" t="s">
        <v>136</v>
      </c>
      <c r="M49" s="19" t="s">
        <v>94</v>
      </c>
      <c r="N49" s="19">
        <v>5.0</v>
      </c>
      <c r="O49" s="19" t="s">
        <v>58</v>
      </c>
      <c r="P49" s="19" t="s">
        <v>74</v>
      </c>
      <c r="Q49" s="19" t="s">
        <v>58</v>
      </c>
      <c r="R49" s="19" t="s">
        <v>52</v>
      </c>
      <c r="T49" s="18" t="str">
        <f t="shared" si="1"/>
        <v/>
      </c>
      <c r="U49" s="18" t="str">
        <f t="shared" si="2"/>
        <v/>
      </c>
      <c r="V49" s="18">
        <f t="shared" si="3"/>
        <v>215</v>
      </c>
      <c r="W49" s="18" t="str">
        <f t="shared" si="4"/>
        <v/>
      </c>
      <c r="X49" s="18">
        <f t="shared" si="5"/>
        <v>215</v>
      </c>
      <c r="Y49" s="18" t="str">
        <f t="shared" si="6"/>
        <v/>
      </c>
      <c r="Z49" s="18" t="str">
        <f t="shared" si="7"/>
        <v/>
      </c>
      <c r="AA49" s="18">
        <f t="shared" si="8"/>
        <v>215</v>
      </c>
      <c r="AB49" s="18" t="str">
        <f t="shared" si="9"/>
        <v/>
      </c>
      <c r="AC49" s="18" t="str">
        <f t="shared" si="10"/>
        <v/>
      </c>
      <c r="AD49" s="18">
        <f t="shared" si="11"/>
        <v>215</v>
      </c>
      <c r="AE49" s="18">
        <f t="shared" si="12"/>
        <v>5</v>
      </c>
    </row>
    <row r="50" ht="15.75" customHeight="1">
      <c r="A50" s="19" t="s">
        <v>163</v>
      </c>
      <c r="B50" s="19" t="s">
        <v>75</v>
      </c>
      <c r="C50" s="19" t="s">
        <v>51</v>
      </c>
      <c r="D50" s="19" t="s">
        <v>54</v>
      </c>
      <c r="E50" s="20">
        <v>46264.0</v>
      </c>
      <c r="F50" s="19">
        <v>1.0</v>
      </c>
      <c r="G50" s="19" t="s">
        <v>85</v>
      </c>
      <c r="H50" s="19" t="s">
        <v>86</v>
      </c>
      <c r="I50" s="19">
        <v>278.0</v>
      </c>
      <c r="J50" s="19" t="s">
        <v>58</v>
      </c>
      <c r="K50" s="19" t="s">
        <v>164</v>
      </c>
      <c r="L50" s="19" t="s">
        <v>91</v>
      </c>
      <c r="M50" s="19" t="s">
        <v>94</v>
      </c>
      <c r="N50" s="19">
        <v>3.0</v>
      </c>
      <c r="O50" s="19" t="s">
        <v>58</v>
      </c>
      <c r="P50" s="19" t="s">
        <v>58</v>
      </c>
      <c r="Q50" s="19" t="s">
        <v>58</v>
      </c>
      <c r="R50" s="19" t="s">
        <v>52</v>
      </c>
      <c r="T50" s="18" t="str">
        <f t="shared" si="1"/>
        <v/>
      </c>
      <c r="U50" s="18" t="str">
        <f t="shared" si="2"/>
        <v/>
      </c>
      <c r="V50" s="18" t="str">
        <f t="shared" si="3"/>
        <v/>
      </c>
      <c r="W50" s="18">
        <f t="shared" si="4"/>
        <v>278</v>
      </c>
      <c r="X50" s="18">
        <f t="shared" si="5"/>
        <v>278</v>
      </c>
      <c r="Y50" s="18" t="str">
        <f t="shared" si="6"/>
        <v/>
      </c>
      <c r="Z50" s="18" t="str">
        <f t="shared" si="7"/>
        <v/>
      </c>
      <c r="AA50" s="18" t="str">
        <f t="shared" si="8"/>
        <v/>
      </c>
      <c r="AB50" s="18">
        <f t="shared" si="9"/>
        <v>278</v>
      </c>
      <c r="AC50" s="18">
        <f t="shared" si="10"/>
        <v>278</v>
      </c>
      <c r="AD50" s="18" t="str">
        <f t="shared" si="11"/>
        <v/>
      </c>
      <c r="AE50" s="18">
        <f t="shared" si="12"/>
        <v>3</v>
      </c>
    </row>
    <row r="51" ht="15.75" customHeight="1">
      <c r="A51" s="19" t="s">
        <v>163</v>
      </c>
      <c r="B51" s="19" t="s">
        <v>75</v>
      </c>
      <c r="C51" s="19" t="s">
        <v>51</v>
      </c>
      <c r="D51" s="19" t="s">
        <v>54</v>
      </c>
      <c r="E51" s="20">
        <v>46264.0</v>
      </c>
      <c r="F51" s="19">
        <v>2.0</v>
      </c>
      <c r="G51" s="19" t="s">
        <v>82</v>
      </c>
      <c r="H51" s="19" t="s">
        <v>83</v>
      </c>
      <c r="I51" s="19">
        <v>300.0</v>
      </c>
      <c r="J51" s="19" t="s">
        <v>52</v>
      </c>
      <c r="K51" s="19" t="s">
        <v>87</v>
      </c>
      <c r="L51" s="19" t="s">
        <v>87</v>
      </c>
      <c r="M51" s="19" t="s">
        <v>88</v>
      </c>
      <c r="N51" s="19">
        <v>4.0</v>
      </c>
      <c r="O51" s="19" t="s">
        <v>58</v>
      </c>
      <c r="P51" s="19" t="s">
        <v>58</v>
      </c>
      <c r="Q51" s="19" t="s">
        <v>58</v>
      </c>
      <c r="R51" s="19" t="s">
        <v>52</v>
      </c>
      <c r="T51" s="18" t="str">
        <f t="shared" si="1"/>
        <v/>
      </c>
      <c r="U51" s="18" t="str">
        <f t="shared" si="2"/>
        <v/>
      </c>
      <c r="V51" s="18">
        <f t="shared" si="3"/>
        <v>300</v>
      </c>
      <c r="W51" s="18" t="str">
        <f t="shared" si="4"/>
        <v/>
      </c>
      <c r="X51" s="18">
        <f t="shared" si="5"/>
        <v>300</v>
      </c>
      <c r="Y51" s="18" t="str">
        <f t="shared" si="6"/>
        <v/>
      </c>
      <c r="Z51" s="18" t="str">
        <f t="shared" si="7"/>
        <v/>
      </c>
      <c r="AA51" s="18" t="str">
        <f t="shared" si="8"/>
        <v/>
      </c>
      <c r="AB51" s="18">
        <f t="shared" si="9"/>
        <v>300</v>
      </c>
      <c r="AC51" s="18">
        <f t="shared" si="10"/>
        <v>300</v>
      </c>
      <c r="AD51" s="18" t="str">
        <f t="shared" si="11"/>
        <v/>
      </c>
      <c r="AE51" s="18">
        <f t="shared" si="12"/>
        <v>4</v>
      </c>
    </row>
    <row r="52" ht="15.75" customHeight="1">
      <c r="A52" s="19" t="s">
        <v>163</v>
      </c>
      <c r="B52" s="19" t="s">
        <v>75</v>
      </c>
      <c r="C52" s="19" t="s">
        <v>51</v>
      </c>
      <c r="D52" s="19" t="s">
        <v>54</v>
      </c>
      <c r="E52" s="20">
        <v>46264.0</v>
      </c>
      <c r="F52" s="19">
        <v>3.0</v>
      </c>
      <c r="G52" s="19" t="s">
        <v>79</v>
      </c>
      <c r="H52" s="19" t="s">
        <v>80</v>
      </c>
      <c r="I52" s="19">
        <v>139.0</v>
      </c>
      <c r="J52" s="19" t="s">
        <v>58</v>
      </c>
      <c r="K52" s="19" t="s">
        <v>81</v>
      </c>
      <c r="L52" s="19" t="s">
        <v>65</v>
      </c>
      <c r="M52" s="19" t="s">
        <v>66</v>
      </c>
      <c r="N52" s="19">
        <v>2.0</v>
      </c>
      <c r="O52" s="19" t="s">
        <v>58</v>
      </c>
      <c r="P52" s="19" t="s">
        <v>58</v>
      </c>
      <c r="Q52" s="19" t="s">
        <v>58</v>
      </c>
      <c r="R52" s="19" t="s">
        <v>52</v>
      </c>
      <c r="T52" s="18" t="str">
        <f t="shared" si="1"/>
        <v/>
      </c>
      <c r="U52" s="18">
        <f t="shared" si="2"/>
        <v>139</v>
      </c>
      <c r="V52" s="18" t="str">
        <f t="shared" si="3"/>
        <v/>
      </c>
      <c r="W52" s="18" t="str">
        <f t="shared" si="4"/>
        <v/>
      </c>
      <c r="X52" s="18">
        <f t="shared" si="5"/>
        <v>139</v>
      </c>
      <c r="Y52" s="18" t="str">
        <f t="shared" si="6"/>
        <v/>
      </c>
      <c r="Z52" s="18" t="str">
        <f t="shared" si="7"/>
        <v/>
      </c>
      <c r="AA52" s="18" t="str">
        <f t="shared" si="8"/>
        <v/>
      </c>
      <c r="AB52" s="18">
        <f t="shared" si="9"/>
        <v>139</v>
      </c>
      <c r="AC52" s="18">
        <f t="shared" si="10"/>
        <v>139</v>
      </c>
      <c r="AD52" s="18" t="str">
        <f t="shared" si="11"/>
        <v/>
      </c>
      <c r="AE52" s="18">
        <f t="shared" si="12"/>
        <v>2</v>
      </c>
    </row>
    <row r="53" ht="15.75" customHeight="1">
      <c r="A53" s="19" t="s">
        <v>163</v>
      </c>
      <c r="B53" s="19" t="s">
        <v>75</v>
      </c>
      <c r="C53" s="19" t="s">
        <v>51</v>
      </c>
      <c r="D53" s="19" t="s">
        <v>54</v>
      </c>
      <c r="E53" s="20">
        <v>46264.0</v>
      </c>
      <c r="F53" s="19">
        <v>4.0</v>
      </c>
      <c r="G53" s="19" t="s">
        <v>59</v>
      </c>
      <c r="H53" s="19" t="s">
        <v>54</v>
      </c>
      <c r="I53" s="19">
        <v>46.0</v>
      </c>
      <c r="J53" s="19" t="s">
        <v>58</v>
      </c>
      <c r="K53" s="19" t="s">
        <v>64</v>
      </c>
      <c r="L53" s="19" t="s">
        <v>65</v>
      </c>
      <c r="M53" s="19" t="s">
        <v>66</v>
      </c>
      <c r="N53" s="19">
        <v>1.0</v>
      </c>
      <c r="O53" s="19" t="s">
        <v>58</v>
      </c>
      <c r="P53" s="19" t="s">
        <v>58</v>
      </c>
      <c r="Q53" s="19" t="s">
        <v>58</v>
      </c>
      <c r="R53" s="19" t="s">
        <v>52</v>
      </c>
      <c r="T53" s="18">
        <f t="shared" si="1"/>
        <v>46</v>
      </c>
      <c r="U53" s="18" t="str">
        <f t="shared" si="2"/>
        <v/>
      </c>
      <c r="V53" s="18" t="str">
        <f t="shared" si="3"/>
        <v/>
      </c>
      <c r="W53" s="18" t="str">
        <f t="shared" si="4"/>
        <v/>
      </c>
      <c r="X53" s="18">
        <f t="shared" si="5"/>
        <v>46</v>
      </c>
      <c r="Y53" s="18" t="str">
        <f t="shared" si="6"/>
        <v/>
      </c>
      <c r="Z53" s="18" t="str">
        <f t="shared" si="7"/>
        <v/>
      </c>
      <c r="AA53" s="18" t="str">
        <f t="shared" si="8"/>
        <v/>
      </c>
      <c r="AB53" s="18">
        <f t="shared" si="9"/>
        <v>46</v>
      </c>
      <c r="AC53" s="18">
        <f t="shared" si="10"/>
        <v>46</v>
      </c>
      <c r="AD53" s="18" t="str">
        <f t="shared" si="11"/>
        <v/>
      </c>
      <c r="AE53" s="18">
        <f t="shared" si="12"/>
        <v>1</v>
      </c>
    </row>
    <row r="54" ht="15.75" customHeight="1">
      <c r="A54" s="19" t="s">
        <v>163</v>
      </c>
      <c r="B54" s="19" t="s">
        <v>75</v>
      </c>
      <c r="C54" s="19" t="s">
        <v>51</v>
      </c>
      <c r="D54" s="19" t="s">
        <v>54</v>
      </c>
      <c r="E54" s="20">
        <v>46264.0</v>
      </c>
      <c r="F54" s="19">
        <v>5.0</v>
      </c>
      <c r="G54" s="19" t="s">
        <v>98</v>
      </c>
      <c r="H54" s="19" t="s">
        <v>86</v>
      </c>
      <c r="I54" s="19">
        <v>254.0</v>
      </c>
      <c r="J54" s="19" t="s">
        <v>58</v>
      </c>
      <c r="K54" s="19" t="s">
        <v>99</v>
      </c>
      <c r="L54" s="19" t="s">
        <v>100</v>
      </c>
      <c r="M54" s="19" t="s">
        <v>94</v>
      </c>
      <c r="N54" s="19">
        <v>5.0</v>
      </c>
      <c r="O54" s="19" t="s">
        <v>58</v>
      </c>
      <c r="P54" s="19" t="s">
        <v>58</v>
      </c>
      <c r="Q54" s="19" t="s">
        <v>58</v>
      </c>
      <c r="R54" s="19" t="s">
        <v>52</v>
      </c>
      <c r="T54" s="18" t="str">
        <f t="shared" si="1"/>
        <v/>
      </c>
      <c r="U54" s="18" t="str">
        <f t="shared" si="2"/>
        <v/>
      </c>
      <c r="V54" s="18" t="str">
        <f t="shared" si="3"/>
        <v/>
      </c>
      <c r="W54" s="18">
        <f t="shared" si="4"/>
        <v>254</v>
      </c>
      <c r="X54" s="18">
        <f t="shared" si="5"/>
        <v>254</v>
      </c>
      <c r="Y54" s="18" t="str">
        <f t="shared" si="6"/>
        <v/>
      </c>
      <c r="Z54" s="18" t="str">
        <f t="shared" si="7"/>
        <v/>
      </c>
      <c r="AA54" s="18" t="str">
        <f t="shared" si="8"/>
        <v/>
      </c>
      <c r="AB54" s="18">
        <f t="shared" si="9"/>
        <v>254</v>
      </c>
      <c r="AC54" s="18" t="str">
        <f t="shared" si="10"/>
        <v/>
      </c>
      <c r="AD54" s="18">
        <f t="shared" si="11"/>
        <v>254</v>
      </c>
      <c r="AE54" s="18">
        <f t="shared" si="12"/>
        <v>5</v>
      </c>
    </row>
    <row r="55" ht="15.75" customHeight="1">
      <c r="A55" s="19" t="s">
        <v>163</v>
      </c>
      <c r="B55" s="19" t="s">
        <v>75</v>
      </c>
      <c r="C55" s="19" t="s">
        <v>51</v>
      </c>
      <c r="D55" s="19" t="s">
        <v>54</v>
      </c>
      <c r="E55" s="20">
        <v>46264.0</v>
      </c>
      <c r="F55" s="19">
        <v>6.0</v>
      </c>
      <c r="G55" s="19" t="s">
        <v>95</v>
      </c>
      <c r="H55" s="19" t="s">
        <v>83</v>
      </c>
      <c r="I55" s="19">
        <v>220.0</v>
      </c>
      <c r="J55" s="19" t="s">
        <v>58</v>
      </c>
      <c r="K55" s="19" t="s">
        <v>166</v>
      </c>
      <c r="L55" s="19" t="s">
        <v>167</v>
      </c>
      <c r="M55" s="19" t="s">
        <v>94</v>
      </c>
      <c r="N55" s="19">
        <v>4.0</v>
      </c>
      <c r="O55" s="19" t="s">
        <v>58</v>
      </c>
      <c r="P55" s="19" t="s">
        <v>58</v>
      </c>
      <c r="Q55" s="19" t="s">
        <v>58</v>
      </c>
      <c r="R55" s="19" t="s">
        <v>52</v>
      </c>
      <c r="T55" s="18" t="str">
        <f t="shared" si="1"/>
        <v/>
      </c>
      <c r="U55" s="18" t="str">
        <f t="shared" si="2"/>
        <v/>
      </c>
      <c r="V55" s="18">
        <f t="shared" si="3"/>
        <v>220</v>
      </c>
      <c r="W55" s="18" t="str">
        <f t="shared" si="4"/>
        <v/>
      </c>
      <c r="X55" s="18">
        <f t="shared" si="5"/>
        <v>220</v>
      </c>
      <c r="Y55" s="18" t="str">
        <f t="shared" si="6"/>
        <v/>
      </c>
      <c r="Z55" s="18" t="str">
        <f t="shared" si="7"/>
        <v/>
      </c>
      <c r="AA55" s="18" t="str">
        <f t="shared" si="8"/>
        <v/>
      </c>
      <c r="AB55" s="18">
        <f t="shared" si="9"/>
        <v>220</v>
      </c>
      <c r="AC55" s="18" t="str">
        <f t="shared" si="10"/>
        <v/>
      </c>
      <c r="AD55" s="18">
        <f t="shared" si="11"/>
        <v>220</v>
      </c>
      <c r="AE55" s="18">
        <f t="shared" si="12"/>
        <v>4</v>
      </c>
    </row>
    <row r="56" ht="15.75" customHeight="1">
      <c r="A56" s="19" t="s">
        <v>163</v>
      </c>
      <c r="B56" s="19" t="s">
        <v>75</v>
      </c>
      <c r="C56" s="19" t="s">
        <v>51</v>
      </c>
      <c r="D56" s="19" t="s">
        <v>54</v>
      </c>
      <c r="E56" s="20">
        <v>46264.0</v>
      </c>
      <c r="F56" s="19">
        <v>7.0</v>
      </c>
      <c r="G56" s="19" t="s">
        <v>92</v>
      </c>
      <c r="H56" s="19" t="s">
        <v>80</v>
      </c>
      <c r="I56" s="19">
        <v>130.0</v>
      </c>
      <c r="J56" s="19" t="s">
        <v>58</v>
      </c>
      <c r="K56" s="19" t="s">
        <v>81</v>
      </c>
      <c r="L56" s="19" t="s">
        <v>65</v>
      </c>
      <c r="M56" s="19" t="s">
        <v>94</v>
      </c>
      <c r="N56" s="19">
        <v>2.0</v>
      </c>
      <c r="O56" s="19" t="s">
        <v>52</v>
      </c>
      <c r="P56" s="19" t="s">
        <v>58</v>
      </c>
      <c r="Q56" s="19" t="s">
        <v>58</v>
      </c>
      <c r="R56" s="19" t="s">
        <v>52</v>
      </c>
      <c r="T56" s="18" t="str">
        <f t="shared" si="1"/>
        <v/>
      </c>
      <c r="U56" s="18">
        <f t="shared" si="2"/>
        <v>130</v>
      </c>
      <c r="V56" s="18" t="str">
        <f t="shared" si="3"/>
        <v/>
      </c>
      <c r="W56" s="18" t="str">
        <f t="shared" si="4"/>
        <v/>
      </c>
      <c r="X56" s="18">
        <f t="shared" si="5"/>
        <v>130</v>
      </c>
      <c r="Y56" s="18" t="str">
        <f t="shared" si="6"/>
        <v/>
      </c>
      <c r="Z56" s="18" t="str">
        <f t="shared" si="7"/>
        <v/>
      </c>
      <c r="AA56" s="18" t="str">
        <f t="shared" si="8"/>
        <v/>
      </c>
      <c r="AB56" s="18">
        <f t="shared" si="9"/>
        <v>130</v>
      </c>
      <c r="AC56" s="18" t="str">
        <f t="shared" si="10"/>
        <v/>
      </c>
      <c r="AD56" s="18">
        <f t="shared" si="11"/>
        <v>130</v>
      </c>
      <c r="AE56" s="18">
        <f t="shared" si="12"/>
        <v>2</v>
      </c>
    </row>
    <row r="57" ht="15.75" customHeight="1">
      <c r="A57" s="19" t="s">
        <v>163</v>
      </c>
      <c r="B57" s="19" t="s">
        <v>75</v>
      </c>
      <c r="C57" s="19" t="s">
        <v>51</v>
      </c>
      <c r="D57" s="19" t="s">
        <v>54</v>
      </c>
      <c r="E57" s="20">
        <v>46264.0</v>
      </c>
      <c r="F57" s="19">
        <v>8.0</v>
      </c>
      <c r="G57" s="19" t="s">
        <v>89</v>
      </c>
      <c r="H57" s="19" t="s">
        <v>54</v>
      </c>
      <c r="I57" s="19">
        <v>30.0</v>
      </c>
      <c r="J57" s="19" t="s">
        <v>58</v>
      </c>
      <c r="K57" s="19" t="s">
        <v>90</v>
      </c>
      <c r="L57" s="19" t="s">
        <v>91</v>
      </c>
      <c r="M57" s="19" t="s">
        <v>66</v>
      </c>
      <c r="N57" s="19">
        <v>1.0</v>
      </c>
      <c r="O57" s="19" t="s">
        <v>58</v>
      </c>
      <c r="P57" s="19" t="s">
        <v>58</v>
      </c>
      <c r="Q57" s="19" t="s">
        <v>58</v>
      </c>
      <c r="R57" s="19" t="s">
        <v>52</v>
      </c>
      <c r="T57" s="18">
        <f t="shared" si="1"/>
        <v>30</v>
      </c>
      <c r="U57" s="18" t="str">
        <f t="shared" si="2"/>
        <v/>
      </c>
      <c r="V57" s="18" t="str">
        <f t="shared" si="3"/>
        <v/>
      </c>
      <c r="W57" s="18" t="str">
        <f t="shared" si="4"/>
        <v/>
      </c>
      <c r="X57" s="18">
        <f t="shared" si="5"/>
        <v>30</v>
      </c>
      <c r="Y57" s="18" t="str">
        <f t="shared" si="6"/>
        <v/>
      </c>
      <c r="Z57" s="18" t="str">
        <f t="shared" si="7"/>
        <v/>
      </c>
      <c r="AA57" s="18" t="str">
        <f t="shared" si="8"/>
        <v/>
      </c>
      <c r="AB57" s="18">
        <f t="shared" si="9"/>
        <v>30</v>
      </c>
      <c r="AC57" s="18" t="str">
        <f t="shared" si="10"/>
        <v/>
      </c>
      <c r="AD57" s="18">
        <f t="shared" si="11"/>
        <v>30</v>
      </c>
      <c r="AE57" s="18">
        <f t="shared" si="12"/>
        <v>1</v>
      </c>
    </row>
    <row r="58" ht="15.75" customHeight="1">
      <c r="A58" s="19" t="s">
        <v>168</v>
      </c>
      <c r="B58" s="19" t="s">
        <v>77</v>
      </c>
      <c r="C58" s="19" t="s">
        <v>51</v>
      </c>
      <c r="D58" s="19" t="s">
        <v>54</v>
      </c>
      <c r="E58" s="20">
        <v>46265.0</v>
      </c>
      <c r="F58" s="19">
        <v>1.0</v>
      </c>
      <c r="G58" s="19" t="s">
        <v>98</v>
      </c>
      <c r="H58" s="19" t="s">
        <v>86</v>
      </c>
      <c r="I58" s="19">
        <v>300.0</v>
      </c>
      <c r="J58" s="19" t="s">
        <v>52</v>
      </c>
      <c r="K58" s="19" t="s">
        <v>87</v>
      </c>
      <c r="L58" s="19" t="s">
        <v>87</v>
      </c>
      <c r="M58" s="19" t="s">
        <v>88</v>
      </c>
      <c r="N58" s="19">
        <v>4.0</v>
      </c>
      <c r="O58" s="19" t="s">
        <v>58</v>
      </c>
      <c r="P58" s="19" t="s">
        <v>74</v>
      </c>
      <c r="Q58" s="19" t="s">
        <v>52</v>
      </c>
      <c r="R58" s="19" t="s">
        <v>52</v>
      </c>
      <c r="T58" s="18" t="str">
        <f t="shared" si="1"/>
        <v/>
      </c>
      <c r="U58" s="18" t="str">
        <f t="shared" si="2"/>
        <v/>
      </c>
      <c r="V58" s="18" t="str">
        <f t="shared" si="3"/>
        <v/>
      </c>
      <c r="W58" s="18">
        <f t="shared" si="4"/>
        <v>300</v>
      </c>
      <c r="X58" s="18">
        <f t="shared" si="5"/>
        <v>300</v>
      </c>
      <c r="Y58" s="18" t="str">
        <f t="shared" si="6"/>
        <v/>
      </c>
      <c r="Z58" s="18" t="str">
        <f t="shared" si="7"/>
        <v/>
      </c>
      <c r="AA58" s="18">
        <f t="shared" si="8"/>
        <v>300</v>
      </c>
      <c r="AB58" s="18" t="str">
        <f t="shared" si="9"/>
        <v/>
      </c>
      <c r="AC58" s="18">
        <f t="shared" si="10"/>
        <v>300</v>
      </c>
      <c r="AD58" s="18" t="str">
        <f t="shared" si="11"/>
        <v/>
      </c>
      <c r="AE58" s="18">
        <f t="shared" si="12"/>
        <v>4</v>
      </c>
    </row>
    <row r="59" ht="15.75" customHeight="1">
      <c r="A59" s="19" t="s">
        <v>168</v>
      </c>
      <c r="B59" s="19" t="s">
        <v>77</v>
      </c>
      <c r="C59" s="19" t="s">
        <v>51</v>
      </c>
      <c r="D59" s="19" t="s">
        <v>54</v>
      </c>
      <c r="E59" s="20">
        <v>46265.0</v>
      </c>
      <c r="F59" s="19">
        <v>2.0</v>
      </c>
      <c r="G59" s="19" t="s">
        <v>95</v>
      </c>
      <c r="H59" s="19" t="s">
        <v>83</v>
      </c>
      <c r="I59" s="19">
        <v>104.0</v>
      </c>
      <c r="J59" s="19" t="s">
        <v>58</v>
      </c>
      <c r="K59" s="19" t="s">
        <v>166</v>
      </c>
      <c r="L59" s="19" t="s">
        <v>169</v>
      </c>
      <c r="M59" s="19" t="s">
        <v>66</v>
      </c>
      <c r="N59" s="19">
        <v>3.0</v>
      </c>
      <c r="O59" s="19" t="s">
        <v>52</v>
      </c>
      <c r="P59" s="19" t="s">
        <v>74</v>
      </c>
      <c r="Q59" s="19" t="s">
        <v>58</v>
      </c>
      <c r="R59" s="19" t="s">
        <v>52</v>
      </c>
      <c r="T59" s="18" t="str">
        <f t="shared" si="1"/>
        <v/>
      </c>
      <c r="U59" s="18" t="str">
        <f t="shared" si="2"/>
        <v/>
      </c>
      <c r="V59" s="18">
        <f t="shared" si="3"/>
        <v>104</v>
      </c>
      <c r="W59" s="18" t="str">
        <f t="shared" si="4"/>
        <v/>
      </c>
      <c r="X59" s="18">
        <f t="shared" si="5"/>
        <v>104</v>
      </c>
      <c r="Y59" s="18" t="str">
        <f t="shared" si="6"/>
        <v/>
      </c>
      <c r="Z59" s="18" t="str">
        <f t="shared" si="7"/>
        <v/>
      </c>
      <c r="AA59" s="18">
        <f t="shared" si="8"/>
        <v>104</v>
      </c>
      <c r="AB59" s="18" t="str">
        <f t="shared" si="9"/>
        <v/>
      </c>
      <c r="AC59" s="18">
        <f t="shared" si="10"/>
        <v>104</v>
      </c>
      <c r="AD59" s="18" t="str">
        <f t="shared" si="11"/>
        <v/>
      </c>
      <c r="AE59" s="18">
        <f t="shared" si="12"/>
        <v>3</v>
      </c>
    </row>
    <row r="60" ht="15.75" customHeight="1">
      <c r="A60" s="19" t="s">
        <v>168</v>
      </c>
      <c r="B60" s="19" t="s">
        <v>77</v>
      </c>
      <c r="C60" s="19" t="s">
        <v>51</v>
      </c>
      <c r="D60" s="19" t="s">
        <v>54</v>
      </c>
      <c r="E60" s="20">
        <v>46265.0</v>
      </c>
      <c r="F60" s="19">
        <v>3.0</v>
      </c>
      <c r="G60" s="19" t="s">
        <v>92</v>
      </c>
      <c r="H60" s="19" t="s">
        <v>80</v>
      </c>
      <c r="I60" s="19">
        <v>110.0</v>
      </c>
      <c r="J60" s="19" t="s">
        <v>58</v>
      </c>
      <c r="K60" s="19" t="s">
        <v>93</v>
      </c>
      <c r="L60" s="19" t="s">
        <v>112</v>
      </c>
      <c r="M60" s="19" t="s">
        <v>66</v>
      </c>
      <c r="N60" s="19">
        <v>2.0</v>
      </c>
      <c r="O60" s="19" t="s">
        <v>58</v>
      </c>
      <c r="P60" s="19" t="s">
        <v>74</v>
      </c>
      <c r="Q60" s="19" t="s">
        <v>58</v>
      </c>
      <c r="R60" s="19" t="s">
        <v>52</v>
      </c>
      <c r="T60" s="18" t="str">
        <f t="shared" si="1"/>
        <v/>
      </c>
      <c r="U60" s="18">
        <f t="shared" si="2"/>
        <v>110</v>
      </c>
      <c r="V60" s="18" t="str">
        <f t="shared" si="3"/>
        <v/>
      </c>
      <c r="W60" s="18" t="str">
        <f t="shared" si="4"/>
        <v/>
      </c>
      <c r="X60" s="18">
        <f t="shared" si="5"/>
        <v>110</v>
      </c>
      <c r="Y60" s="18" t="str">
        <f t="shared" si="6"/>
        <v/>
      </c>
      <c r="Z60" s="18" t="str">
        <f t="shared" si="7"/>
        <v/>
      </c>
      <c r="AA60" s="18">
        <f t="shared" si="8"/>
        <v>110</v>
      </c>
      <c r="AB60" s="18" t="str">
        <f t="shared" si="9"/>
        <v/>
      </c>
      <c r="AC60" s="18">
        <f t="shared" si="10"/>
        <v>110</v>
      </c>
      <c r="AD60" s="18" t="str">
        <f t="shared" si="11"/>
        <v/>
      </c>
      <c r="AE60" s="18">
        <f t="shared" si="12"/>
        <v>2</v>
      </c>
    </row>
    <row r="61" ht="15.75" customHeight="1">
      <c r="A61" s="19" t="s">
        <v>168</v>
      </c>
      <c r="B61" s="19" t="s">
        <v>77</v>
      </c>
      <c r="C61" s="19" t="s">
        <v>51</v>
      </c>
      <c r="D61" s="19" t="s">
        <v>54</v>
      </c>
      <c r="E61" s="20">
        <v>46265.0</v>
      </c>
      <c r="F61" s="19">
        <v>4.0</v>
      </c>
      <c r="G61" s="19" t="s">
        <v>89</v>
      </c>
      <c r="H61" s="19" t="s">
        <v>54</v>
      </c>
      <c r="I61" s="19">
        <v>24.0</v>
      </c>
      <c r="J61" s="19" t="s">
        <v>58</v>
      </c>
      <c r="K61" s="19" t="s">
        <v>90</v>
      </c>
      <c r="L61" s="19" t="s">
        <v>91</v>
      </c>
      <c r="M61" s="19" t="s">
        <v>66</v>
      </c>
      <c r="N61" s="19">
        <v>1.0</v>
      </c>
      <c r="O61" s="19" t="s">
        <v>58</v>
      </c>
      <c r="P61" s="19" t="s">
        <v>74</v>
      </c>
      <c r="Q61" s="19" t="s">
        <v>58</v>
      </c>
      <c r="R61" s="19" t="s">
        <v>52</v>
      </c>
      <c r="T61" s="18">
        <f t="shared" si="1"/>
        <v>24</v>
      </c>
      <c r="U61" s="18" t="str">
        <f t="shared" si="2"/>
        <v/>
      </c>
      <c r="V61" s="18" t="str">
        <f t="shared" si="3"/>
        <v/>
      </c>
      <c r="W61" s="18" t="str">
        <f t="shared" si="4"/>
        <v/>
      </c>
      <c r="X61" s="18">
        <f t="shared" si="5"/>
        <v>24</v>
      </c>
      <c r="Y61" s="18" t="str">
        <f t="shared" si="6"/>
        <v/>
      </c>
      <c r="Z61" s="18" t="str">
        <f t="shared" si="7"/>
        <v/>
      </c>
      <c r="AA61" s="18">
        <f t="shared" si="8"/>
        <v>24</v>
      </c>
      <c r="AB61" s="18" t="str">
        <f t="shared" si="9"/>
        <v/>
      </c>
      <c r="AC61" s="18">
        <f t="shared" si="10"/>
        <v>24</v>
      </c>
      <c r="AD61" s="18" t="str">
        <f t="shared" si="11"/>
        <v/>
      </c>
      <c r="AE61" s="18">
        <f t="shared" si="12"/>
        <v>1</v>
      </c>
    </row>
    <row r="62" ht="15.75" customHeight="1">
      <c r="A62" s="19" t="s">
        <v>168</v>
      </c>
      <c r="B62" s="19" t="s">
        <v>77</v>
      </c>
      <c r="C62" s="19" t="s">
        <v>51</v>
      </c>
      <c r="D62" s="19" t="s">
        <v>54</v>
      </c>
      <c r="E62" s="20">
        <v>46265.0</v>
      </c>
      <c r="F62" s="19">
        <v>5.0</v>
      </c>
      <c r="G62" s="19" t="s">
        <v>85</v>
      </c>
      <c r="H62" s="19" t="s">
        <v>86</v>
      </c>
      <c r="I62" s="19">
        <v>96.0</v>
      </c>
      <c r="J62" s="19" t="s">
        <v>58</v>
      </c>
      <c r="K62" s="19" t="s">
        <v>164</v>
      </c>
      <c r="L62" s="19" t="s">
        <v>91</v>
      </c>
      <c r="M62" s="19" t="s">
        <v>94</v>
      </c>
      <c r="N62" s="19">
        <v>4.0</v>
      </c>
      <c r="O62" s="19" t="s">
        <v>58</v>
      </c>
      <c r="P62" s="19" t="s">
        <v>74</v>
      </c>
      <c r="Q62" s="19" t="s">
        <v>58</v>
      </c>
      <c r="R62" s="19" t="s">
        <v>52</v>
      </c>
      <c r="T62" s="18" t="str">
        <f t="shared" si="1"/>
        <v/>
      </c>
      <c r="U62" s="18" t="str">
        <f t="shared" si="2"/>
        <v/>
      </c>
      <c r="V62" s="18" t="str">
        <f t="shared" si="3"/>
        <v/>
      </c>
      <c r="W62" s="18">
        <f t="shared" si="4"/>
        <v>96</v>
      </c>
      <c r="X62" s="18">
        <f t="shared" si="5"/>
        <v>96</v>
      </c>
      <c r="Y62" s="18" t="str">
        <f t="shared" si="6"/>
        <v/>
      </c>
      <c r="Z62" s="18" t="str">
        <f t="shared" si="7"/>
        <v/>
      </c>
      <c r="AA62" s="18">
        <f t="shared" si="8"/>
        <v>96</v>
      </c>
      <c r="AB62" s="18" t="str">
        <f t="shared" si="9"/>
        <v/>
      </c>
      <c r="AC62" s="18" t="str">
        <f t="shared" si="10"/>
        <v/>
      </c>
      <c r="AD62" s="18">
        <f t="shared" si="11"/>
        <v>96</v>
      </c>
      <c r="AE62" s="18">
        <f t="shared" si="12"/>
        <v>4</v>
      </c>
    </row>
    <row r="63" ht="15.75" customHeight="1">
      <c r="A63" s="19" t="s">
        <v>168</v>
      </c>
      <c r="B63" s="19" t="s">
        <v>77</v>
      </c>
      <c r="C63" s="19" t="s">
        <v>51</v>
      </c>
      <c r="D63" s="19" t="s">
        <v>54</v>
      </c>
      <c r="E63" s="20">
        <v>46265.0</v>
      </c>
      <c r="F63" s="19">
        <v>6.0</v>
      </c>
      <c r="G63" s="19" t="s">
        <v>82</v>
      </c>
      <c r="H63" s="19" t="s">
        <v>83</v>
      </c>
      <c r="I63" s="19">
        <v>126.0</v>
      </c>
      <c r="J63" s="19" t="s">
        <v>58</v>
      </c>
      <c r="K63" s="19" t="s">
        <v>84</v>
      </c>
      <c r="L63" s="19" t="s">
        <v>65</v>
      </c>
      <c r="M63" s="19" t="s">
        <v>66</v>
      </c>
      <c r="N63" s="19">
        <v>3.0</v>
      </c>
      <c r="O63" s="19" t="s">
        <v>52</v>
      </c>
      <c r="P63" s="19" t="s">
        <v>74</v>
      </c>
      <c r="Q63" s="19" t="s">
        <v>58</v>
      </c>
      <c r="R63" s="19" t="s">
        <v>52</v>
      </c>
      <c r="T63" s="18" t="str">
        <f t="shared" si="1"/>
        <v/>
      </c>
      <c r="U63" s="18" t="str">
        <f t="shared" si="2"/>
        <v/>
      </c>
      <c r="V63" s="18">
        <f t="shared" si="3"/>
        <v>126</v>
      </c>
      <c r="W63" s="18" t="str">
        <f t="shared" si="4"/>
        <v/>
      </c>
      <c r="X63" s="18">
        <f t="shared" si="5"/>
        <v>126</v>
      </c>
      <c r="Y63" s="18" t="str">
        <f t="shared" si="6"/>
        <v/>
      </c>
      <c r="Z63" s="18" t="str">
        <f t="shared" si="7"/>
        <v/>
      </c>
      <c r="AA63" s="18">
        <f t="shared" si="8"/>
        <v>126</v>
      </c>
      <c r="AB63" s="18" t="str">
        <f t="shared" si="9"/>
        <v/>
      </c>
      <c r="AC63" s="18" t="str">
        <f t="shared" si="10"/>
        <v/>
      </c>
      <c r="AD63" s="18">
        <f t="shared" si="11"/>
        <v>126</v>
      </c>
      <c r="AE63" s="18">
        <f t="shared" si="12"/>
        <v>3</v>
      </c>
    </row>
    <row r="64" ht="15.75" customHeight="1">
      <c r="A64" s="19" t="s">
        <v>168</v>
      </c>
      <c r="B64" s="19" t="s">
        <v>77</v>
      </c>
      <c r="C64" s="19" t="s">
        <v>51</v>
      </c>
      <c r="D64" s="19" t="s">
        <v>54</v>
      </c>
      <c r="E64" s="20">
        <v>46265.0</v>
      </c>
      <c r="F64" s="19">
        <v>7.0</v>
      </c>
      <c r="G64" s="19" t="s">
        <v>79</v>
      </c>
      <c r="H64" s="19" t="s">
        <v>80</v>
      </c>
      <c r="I64" s="19">
        <v>81.0</v>
      </c>
      <c r="J64" s="19" t="s">
        <v>58</v>
      </c>
      <c r="K64" s="19" t="s">
        <v>81</v>
      </c>
      <c r="L64" s="19" t="s">
        <v>65</v>
      </c>
      <c r="M64" s="19" t="s">
        <v>66</v>
      </c>
      <c r="N64" s="19">
        <v>1.0</v>
      </c>
      <c r="O64" s="19" t="s">
        <v>52</v>
      </c>
      <c r="P64" s="19" t="s">
        <v>74</v>
      </c>
      <c r="Q64" s="19" t="s">
        <v>58</v>
      </c>
      <c r="R64" s="19" t="s">
        <v>52</v>
      </c>
      <c r="T64" s="18" t="str">
        <f t="shared" si="1"/>
        <v/>
      </c>
      <c r="U64" s="18">
        <f t="shared" si="2"/>
        <v>81</v>
      </c>
      <c r="V64" s="18" t="str">
        <f t="shared" si="3"/>
        <v/>
      </c>
      <c r="W64" s="18" t="str">
        <f t="shared" si="4"/>
        <v/>
      </c>
      <c r="X64" s="18">
        <f t="shared" si="5"/>
        <v>81</v>
      </c>
      <c r="Y64" s="18" t="str">
        <f t="shared" si="6"/>
        <v/>
      </c>
      <c r="Z64" s="18" t="str">
        <f t="shared" si="7"/>
        <v/>
      </c>
      <c r="AA64" s="18">
        <f t="shared" si="8"/>
        <v>81</v>
      </c>
      <c r="AB64" s="18" t="str">
        <f t="shared" si="9"/>
        <v/>
      </c>
      <c r="AC64" s="18" t="str">
        <f t="shared" si="10"/>
        <v/>
      </c>
      <c r="AD64" s="18">
        <f t="shared" si="11"/>
        <v>81</v>
      </c>
      <c r="AE64" s="18">
        <f t="shared" si="12"/>
        <v>1</v>
      </c>
    </row>
    <row r="65" ht="15.75" customHeight="1">
      <c r="A65" s="31" t="s">
        <v>168</v>
      </c>
      <c r="B65" s="31" t="s">
        <v>77</v>
      </c>
      <c r="C65" s="31" t="s">
        <v>51</v>
      </c>
      <c r="D65" s="31" t="s">
        <v>54</v>
      </c>
      <c r="E65" s="32">
        <v>46265.0</v>
      </c>
      <c r="F65" s="31">
        <v>8.0</v>
      </c>
      <c r="G65" s="31" t="s">
        <v>59</v>
      </c>
      <c r="H65" s="31" t="s">
        <v>54</v>
      </c>
      <c r="I65" s="31">
        <v>18.0</v>
      </c>
      <c r="J65" s="31" t="s">
        <v>58</v>
      </c>
      <c r="K65" s="31" t="s">
        <v>64</v>
      </c>
      <c r="L65" s="31" t="s">
        <v>170</v>
      </c>
      <c r="M65" s="31" t="s">
        <v>94</v>
      </c>
      <c r="N65" s="31">
        <v>1.0</v>
      </c>
      <c r="O65" s="31" t="s">
        <v>58</v>
      </c>
      <c r="P65" s="31" t="s">
        <v>74</v>
      </c>
      <c r="Q65" s="31" t="s">
        <v>58</v>
      </c>
      <c r="R65" s="31" t="s">
        <v>52</v>
      </c>
      <c r="T65" s="18">
        <f t="shared" si="1"/>
        <v>18</v>
      </c>
      <c r="U65" s="18" t="str">
        <f t="shared" si="2"/>
        <v/>
      </c>
      <c r="V65" s="18" t="str">
        <f t="shared" si="3"/>
        <v/>
      </c>
      <c r="W65" s="18" t="str">
        <f t="shared" si="4"/>
        <v/>
      </c>
      <c r="X65" s="18">
        <f t="shared" si="5"/>
        <v>18</v>
      </c>
      <c r="Y65" s="18" t="str">
        <f t="shared" si="6"/>
        <v/>
      </c>
      <c r="Z65" s="18" t="str">
        <f t="shared" si="7"/>
        <v/>
      </c>
      <c r="AA65" s="18">
        <f t="shared" si="8"/>
        <v>18</v>
      </c>
      <c r="AB65" s="18" t="str">
        <f t="shared" si="9"/>
        <v/>
      </c>
      <c r="AC65" s="18" t="str">
        <f t="shared" si="10"/>
        <v/>
      </c>
      <c r="AD65" s="18">
        <f t="shared" si="11"/>
        <v>18</v>
      </c>
      <c r="AE65" s="18">
        <f t="shared" si="12"/>
        <v>1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</sheetData>
  <dataValidations>
    <dataValidation type="list" allowBlank="1" sqref="M2:M65">
      <formula1>"Correcta,Incorrecta,No resuelta"</formula1>
    </dataValidation>
    <dataValidation type="list" allowBlank="1" sqref="G2:G65">
      <formula1>"01,02,03,04,05,06,07,08"</formula1>
    </dataValidation>
    <dataValidation type="list" allowBlank="1" sqref="J2:J65 O2:O65 Q2:R65">
      <formula1>"Sí,No"</formula1>
    </dataValidation>
    <dataValidation type="list" allowBlank="1" sqref="D2:D65">
      <formula1>"A,B"</formula1>
    </dataValidation>
    <dataValidation type="list" allowBlank="1" sqref="H2:H65">
      <formula1>"A,B,C,D"</formula1>
    </dataValidation>
    <dataValidation type="list" allowBlank="1" sqref="C2:C65">
      <formula1>"Pre,Post"</formula1>
    </dataValidation>
    <dataValidation type="list" allowBlank="1" sqref="P2:P65">
      <formula1>"Sí,Parcial,No"</formula1>
    </dataValidation>
  </dataValidations>
  <printOptions/>
  <pageMargins bottom="1.0" footer="0.0" header="0.0" left="0.75" right="0.75" top="1.0"/>
  <pageSetup paperSize="9" orientation="portrait"/>
  <drawing r:id="rId1"/>
</worksheet>
</file>